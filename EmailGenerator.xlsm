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Rapes\Desktop\15OKC0548\"/>
    </mc:Choice>
  </mc:AlternateContent>
  <bookViews>
    <workbookView xWindow="0" yWindow="0" windowWidth="20490" windowHeight="7905"/>
  </bookViews>
  <sheets>
    <sheet name="Main" sheetId="33" r:id="rId1"/>
    <sheet name="Email List" sheetId="7" r:id="rId2"/>
    <sheet name="Blank" sheetId="10" state="veryHidden" r:id="rId3"/>
    <sheet name="User_Log" sheetId="8" state="veryHidden" r:id="rId4"/>
    <sheet name="Release_Notes" sheetId="9" state="veryHidden" r:id="rId5"/>
  </sheets>
  <functionGroups builtInGroupCount="18"/>
  <definedNames>
    <definedName name="HighLow" localSheetId="0">#REF!</definedName>
    <definedName name="HighLow">#REF!</definedName>
    <definedName name="HighLow_Lable" localSheetId="0">#REF!</definedName>
    <definedName name="HighLow_Lable">#REF!</definedName>
    <definedName name="LeftRight" localSheetId="0">#REF!</definedName>
    <definedName name="LeftRight">#REF!</definedName>
    <definedName name="LeftRight_Label" localSheetId="0">#REF!</definedName>
    <definedName name="LeftRight_Label">#REF!</definedName>
  </definedNames>
  <calcPr calcId="152511"/>
</workbook>
</file>

<file path=xl/calcChain.xml><?xml version="1.0" encoding="utf-8"?>
<calcChain xmlns="http://schemas.openxmlformats.org/spreadsheetml/2006/main">
  <c r="D27" i="33" l="1"/>
  <c r="C27" i="33"/>
  <c r="B27" i="33" l="1"/>
  <c r="E27" i="33" s="1"/>
  <c r="C52" i="33" s="1"/>
  <c r="C44" i="33" l="1"/>
  <c r="C43" i="33"/>
  <c r="C42" i="33"/>
  <c r="C41" i="33"/>
  <c r="C40" i="33"/>
  <c r="C39" i="33"/>
  <c r="C46" i="33" l="1"/>
  <c r="C45" i="33"/>
  <c r="B37" i="33"/>
  <c r="B35" i="33"/>
  <c r="B30" i="33"/>
  <c r="C51" i="33"/>
  <c r="C50" i="33"/>
  <c r="C49" i="33" l="1"/>
  <c r="C46" i="10"/>
  <c r="C45" i="10"/>
  <c r="C44" i="10"/>
  <c r="C43" i="10"/>
  <c r="C40" i="10"/>
  <c r="C39" i="10"/>
  <c r="B31" i="10"/>
  <c r="B29" i="10"/>
  <c r="B27" i="10"/>
  <c r="D24" i="10"/>
  <c r="C51" i="10" s="1"/>
  <c r="C24" i="10"/>
  <c r="C50" i="10" s="1"/>
  <c r="B24" i="10"/>
  <c r="C49" i="10" s="1"/>
</calcChain>
</file>

<file path=xl/connections.xml><?xml version="1.0" encoding="utf-8"?>
<connections xmlns="http://schemas.openxmlformats.org/spreadsheetml/2006/main">
  <connection id="1" name="C7" type="6" refreshedVersion="0" background="1">
    <textPr prompt="0" sourceFile="C7">
      <textFields>
        <textField/>
      </textFields>
    </textPr>
  </connection>
  <connection id="2" name="C71" type="6" refreshedVersion="0" background="1">
    <textPr prompt="0" sourceFile="C7">
      <textFields>
        <textField/>
      </textFields>
    </textPr>
  </connection>
  <connection id="3" name="False" type="6" refreshedVersion="0" background="1">
    <textPr prompt="0" sourceFile="False">
      <textFields>
        <textField/>
      </textFields>
    </textPr>
  </connection>
  <connection id="4" name="False1" type="6" refreshedVersion="0" background="1">
    <textPr prompt="0" sourceFile="False">
      <textFields>
        <textField/>
      </textFields>
    </textPr>
  </connection>
  <connection id="5" name="False2" type="6" refreshedVersion="0" background="1">
    <textPr prompt="0" sourceFile="False">
      <textFields>
        <textField/>
      </textFields>
    </textPr>
  </connection>
  <connection id="6" name="Filepath1" type="6" refreshedVersion="0" background="1">
    <textPr prompt="0" sourceFile="Filepath1">
      <textFields>
        <textField/>
      </textFields>
    </textPr>
  </connection>
  <connection id="7" name="Filepath11" type="6" refreshedVersion="0" background="1">
    <textPr prompt="0" sourceFile="Filepath1">
      <textFields>
        <textField/>
      </textFields>
    </textPr>
  </connection>
  <connection id="8" name="SURVEY1" type="6" refreshedVersion="3" background="1">
    <textPr prompt="0" codePage="437" firstRow="43" sourceFile="E:\11OKC0399\RT Logs\SURVEY.LAS" delimited="0">
      <textFields count="8">
        <textField/>
        <textField position="10"/>
        <textField position="21"/>
        <textField position="32"/>
        <textField position="43"/>
        <textField position="54"/>
        <textField position="65"/>
        <textField position="76"/>
      </textFields>
    </textPr>
  </connection>
  <connection id="9" name="SURVEY102" type="6" refreshedVersion="0" background="1">
    <textPr prompt="0" sourceFile="F:\JOB FOLDER\RT Logs\SURVEY.LAS">
      <textFields>
        <textField/>
      </textFields>
    </textPr>
  </connection>
  <connection id="10" name="SURVEY3" type="6" refreshedVersion="3" background="1">
    <textPr prompt="0" codePage="437" firstRow="43" sourceFile="E:\11OKC0399\RT Logs\SURVEY.LAS" delimited="0">
      <textFields count="8">
        <textField/>
        <textField position="10"/>
        <textField position="21"/>
        <textField position="32"/>
        <textField position="43"/>
        <textField position="54"/>
        <textField position="65"/>
        <textField position="76"/>
      </textFields>
    </textPr>
  </connection>
  <connection id="11" name="SURVEY78" type="6" refreshedVersion="0" background="1">
    <textPr prompt="0" sourceFile="E:\11OKC0399\RT Logs\SURVEY.LAS">
      <textFields>
        <textField/>
      </textFields>
    </textPr>
  </connection>
  <connection id="12" name="SURVEY79" type="6" refreshedVersion="0" background="1">
    <textPr prompt="0" sourceFile="E:\11OKC0399\RT Logs\SURVEY.LAS">
      <textFields>
        <textField/>
      </textFields>
    </textPr>
  </connection>
  <connection id="13" name="SURVEY8" type="6" refreshedVersion="0" background="1">
    <textPr prompt="0" sourceFile="E:\11OKC0399\RT Logs\SURVEY.LAS">
      <textFields>
        <textField/>
      </textFields>
    </textPr>
  </connection>
  <connection id="14" name="SURVEY84" type="6" refreshedVersion="0" background="1">
    <textPr prompt="0" sourceFile="F:\11OKC0399\RT Logs\SURVEY.LAS">
      <textFields>
        <textField/>
      </textFields>
    </textPr>
  </connection>
  <connection id="15" name="SURVEY85" type="6" refreshedVersion="0" background="1">
    <textPr prompt="0" sourceFile="F:\11OKC0399\RT Logs\SURVEY.LAS">
      <textFields>
        <textField/>
      </textFields>
    </textPr>
  </connection>
  <connection id="16" name="SURVEY9" type="6" refreshedVersion="0" background="1">
    <textPr prompt="0" sourceFile="E:\11OKC0399\RT Logs\SURVEY.LAS">
      <textFields>
        <textField/>
      </textFields>
    </textPr>
  </connection>
</connections>
</file>

<file path=xl/sharedStrings.xml><?xml version="1.0" encoding="utf-8"?>
<sst xmlns="http://schemas.openxmlformats.org/spreadsheetml/2006/main" count="232" uniqueCount="135">
  <si>
    <t>Left/Right:</t>
  </si>
  <si>
    <t>Inc:</t>
  </si>
  <si>
    <t>TVD:</t>
  </si>
  <si>
    <t>You must enable macros. Do not move cells - this will mess up the macros.</t>
  </si>
  <si>
    <t>Survey Information</t>
  </si>
  <si>
    <t>VS:</t>
  </si>
  <si>
    <t>DLS:</t>
  </si>
  <si>
    <t>MD:</t>
  </si>
  <si>
    <t xml:space="preserve"> </t>
  </si>
  <si>
    <r>
      <t>&lt;b&gt;MWD</t>
    </r>
    <r>
      <rPr>
        <sz val="11"/>
        <rFont val="Calibri"/>
        <family val="2"/>
        <scheme val="minor"/>
      </rPr>
      <t>:&lt;/b&gt;</t>
    </r>
  </si>
  <si>
    <t>SUBJECT</t>
  </si>
  <si>
    <t>BODY</t>
  </si>
  <si>
    <t>&lt;u&gt;Crew Contact Information:&lt;/u&gt;</t>
  </si>
  <si>
    <t>Regards,</t>
  </si>
  <si>
    <r>
      <t>&lt;b&gt;DD</t>
    </r>
    <r>
      <rPr>
        <sz val="11"/>
        <color theme="1"/>
        <rFont val="Calibri"/>
        <family val="2"/>
        <scheme val="minor"/>
      </rPr>
      <t>:&lt;/b&gt;</t>
    </r>
  </si>
  <si>
    <t>MWD 1 Name</t>
  </si>
  <si>
    <t>MWD 2 Email</t>
  </si>
  <si>
    <t>MWD 1 Phone</t>
  </si>
  <si>
    <t>MWD 1 Email</t>
  </si>
  <si>
    <t>DD 1 Name</t>
  </si>
  <si>
    <t>DD 1 Email</t>
  </si>
  <si>
    <t>DD 1 Phone</t>
  </si>
  <si>
    <t>MWD 2 Name</t>
  </si>
  <si>
    <t>MWD 2 Phone</t>
  </si>
  <si>
    <t>DD 2 Name</t>
  </si>
  <si>
    <t>DD 2 Phone</t>
  </si>
  <si>
    <t>DD 2 Email</t>
  </si>
  <si>
    <t>Revision #</t>
  </si>
  <si>
    <t>Email ("To" Line)</t>
  </si>
  <si>
    <t>Email ("CC" Line)</t>
  </si>
  <si>
    <t>Rig:</t>
  </si>
  <si>
    <t>Below is the contact information for all Directional crew members on location.</t>
  </si>
  <si>
    <t>Left</t>
  </si>
  <si>
    <t>General Well Information</t>
  </si>
  <si>
    <t>Well Name:</t>
  </si>
  <si>
    <t>Enter the following information:</t>
  </si>
  <si>
    <t>Only Edit These Cells</t>
  </si>
  <si>
    <t>Survey</t>
  </si>
  <si>
    <t>PTB</t>
  </si>
  <si>
    <t>Azi:</t>
  </si>
  <si>
    <t>Drop Down Options</t>
  </si>
  <si>
    <t>Right</t>
  </si>
  <si>
    <t>Please let us know if you have any questions or concerns.</t>
  </si>
  <si>
    <t>Ahead/Behind</t>
  </si>
  <si>
    <t>Right/Left</t>
  </si>
  <si>
    <t>Projection To Bit</t>
  </si>
  <si>
    <t>Plan #</t>
  </si>
  <si>
    <t>Below</t>
  </si>
  <si>
    <t>Above</t>
  </si>
  <si>
    <t>Offset:</t>
  </si>
  <si>
    <t>REMARKS</t>
  </si>
  <si>
    <t>Steering Information</t>
  </si>
  <si>
    <t>Slide Seen:</t>
  </si>
  <si>
    <t>Slide Below:</t>
  </si>
  <si>
    <t>Motor Yield:</t>
  </si>
  <si>
    <t>DL to Land:</t>
  </si>
  <si>
    <t>n/a</t>
  </si>
  <si>
    <t>END</t>
  </si>
  <si>
    <t>User</t>
  </si>
  <si>
    <t># of Opens</t>
  </si>
  <si>
    <t>Revision:</t>
  </si>
  <si>
    <t>CJones06</t>
  </si>
  <si>
    <t>Rev</t>
  </si>
  <si>
    <t>Moved the number of times the report email was sent from (uses mod 1)  = 0 to (uses mod 25) =0</t>
  </si>
  <si>
    <t>Edited the handling of "-ERROR" so that the copy_files function will remove the "-ERROR" string and check again if the file is present</t>
  </si>
  <si>
    <t>?</t>
  </si>
  <si>
    <t>Broke out .las data to all appear on GUI</t>
  </si>
  <si>
    <t>Slide Ahead:</t>
  </si>
  <si>
    <t>Created "Blank" reset sheet</t>
  </si>
  <si>
    <t>Created Event to update _Survey.xls when well name is updated</t>
  </si>
  <si>
    <t>KRapes</t>
  </si>
  <si>
    <t>Well_Name</t>
  </si>
  <si>
    <t>Rig_Name</t>
  </si>
  <si>
    <t>Plan_Rev</t>
  </si>
  <si>
    <t>Made sheet functional with both Maxwell and RX5 systems</t>
  </si>
  <si>
    <t>Link to values above</t>
  </si>
  <si>
    <t>DUmana</t>
  </si>
  <si>
    <t>MD</t>
  </si>
  <si>
    <t>okcdec@slb.com</t>
  </si>
  <si>
    <t>NAL-IMS@slb.com</t>
  </si>
  <si>
    <t>computingcenter@slb.com</t>
  </si>
  <si>
    <t>INC</t>
  </si>
  <si>
    <t>AZI</t>
  </si>
  <si>
    <t>Kerri Rapes</t>
  </si>
  <si>
    <t>Krapes@slb.com</t>
  </si>
  <si>
    <t>Updated LAS_Love to not give error if no LAS files are present</t>
  </si>
  <si>
    <t>Created SOS_Email button</t>
  </si>
  <si>
    <t>Updated Save ASC to pull last two surveys</t>
  </si>
  <si>
    <t>Updated "Blank" sheet to include changes</t>
  </si>
  <si>
    <t>Prevous</t>
  </si>
  <si>
    <t>Steve Harding</t>
  </si>
  <si>
    <t>SHarding2@slb.com</t>
  </si>
  <si>
    <t>+1 405 664 7413</t>
  </si>
  <si>
    <t>Ryan Hadlock</t>
  </si>
  <si>
    <t>RHadlock@slb.com</t>
  </si>
  <si>
    <t>+1 405 863 8885</t>
  </si>
  <si>
    <t>Remote Operations</t>
  </si>
  <si>
    <t>Tulsadirectional@cimarex.com</t>
  </si>
  <si>
    <t>Rclark@cimarex.com</t>
  </si>
  <si>
    <t>Rgoddard@cimarex.com</t>
  </si>
  <si>
    <t>Ngeier@cimarex.com</t>
  </si>
  <si>
    <t>Ladams@cimarex.com</t>
  </si>
  <si>
    <t>Rswearingen@cimarex.com</t>
  </si>
  <si>
    <t>Jleader@cimarex.com</t>
  </si>
  <si>
    <t>Rreynolds@cimarex.com</t>
  </si>
  <si>
    <t>Nancy 6-27H</t>
  </si>
  <si>
    <t>NorAm 29</t>
  </si>
  <si>
    <t>TVD</t>
  </si>
  <si>
    <t>Incl</t>
  </si>
  <si>
    <t>Azim</t>
  </si>
  <si>
    <t>V Sec</t>
  </si>
  <si>
    <t>N/-S</t>
  </si>
  <si>
    <t>E/-W</t>
  </si>
  <si>
    <t>DLS</t>
  </si>
  <si>
    <t>Run</t>
  </si>
  <si>
    <t>Tool</t>
  </si>
  <si>
    <t>QI</t>
  </si>
  <si>
    <t>CI</t>
  </si>
  <si>
    <t>ID</t>
  </si>
  <si>
    <t>SlimPulse</t>
  </si>
  <si>
    <t>X:\RT\PrintSurveyList.csv</t>
  </si>
  <si>
    <t>C:\Users\KRapes\Desktop\15OKC0548\RT Logs\Nancy 6-27H_SURVEYS.xls</t>
  </si>
  <si>
    <t>X:\RT\Nancy_6-27H_5in_MD.PDF</t>
  </si>
  <si>
    <t>X:\RT\Nancy_6-27H_LAS_.las</t>
  </si>
  <si>
    <t>Nancy_6-27H_LAS_.las</t>
  </si>
  <si>
    <t>DEPT</t>
  </si>
  <si>
    <t>GR</t>
  </si>
  <si>
    <t>ROP5</t>
  </si>
  <si>
    <t>TEMP_DNI</t>
  </si>
  <si>
    <t>VSEC</t>
  </si>
  <si>
    <t>NAL-MWD-ROC-102N@slb.com</t>
  </si>
  <si>
    <t>INCL_CONT</t>
  </si>
  <si>
    <t>wellsite39@cimarex.com</t>
  </si>
  <si>
    <t>LANDED</t>
  </si>
  <si>
    <t>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</si>
</sst>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\°"/>
    <numFmt numFmtId="165" formatCode="0.00\'"/>
    <numFmt numFmtId="166" formatCode="0.0000000000"/>
  </numFmts>
  <fonts count="2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rgb="FF003366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808080"/>
      <name val="Cambria"/>
      <family val="1"/>
    </font>
    <font>
      <i/>
      <sz val="11"/>
      <color rgb="FF7F7F7F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2"/>
      <name val="Calibri"/>
      <family val="2"/>
      <scheme val="minor"/>
    </font>
    <font>
      <sz val="11"/>
      <color rgb="FF020000"/>
      <name val="Calibri"/>
      <family val="2"/>
      <scheme val="minor"/>
    </font>
    <font>
      <u/>
      <sz val="11"/>
      <color rgb="FF020000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</fills>
  <borders count="2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7F7F7F"/>
      </right>
      <top style="hair">
        <color indexed="64"/>
      </top>
      <bottom style="hair">
        <color indexed="64"/>
      </bottom>
      <diagonal/>
    </border>
    <border>
      <left style="thin">
        <color rgb="FF7F7F7F"/>
      </left>
      <right style="thin">
        <color rgb="FF7F7F7F"/>
      </right>
      <top style="hair">
        <color indexed="64"/>
      </top>
      <bottom style="hair">
        <color indexed="64"/>
      </bottom>
      <diagonal/>
    </border>
    <border>
      <left style="thin">
        <color rgb="FF7F7F7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3" fillId="3" borderId="2" applyNumberFormat="0" applyAlignment="0" applyProtection="0"/>
    <xf numFmtId="0" fontId="8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135">
    <xf numFmtId="0" fontId="0" fillId="0" borderId="0" xfId="0"/>
    <xf numFmtId="0" fontId="0" fillId="0" borderId="0" xfId="0" applyProtection="1"/>
    <xf numFmtId="0" fontId="1" fillId="0" borderId="0" xfId="0" applyFont="1" applyProtection="1"/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0" fontId="4" fillId="0" borderId="0" xfId="0" applyFont="1" applyProtection="1"/>
    <xf numFmtId="0" fontId="0" fillId="0" borderId="0" xfId="0" applyAlignment="1" applyProtection="1">
      <alignment vertical="center"/>
    </xf>
    <xf numFmtId="0" fontId="0" fillId="0" borderId="0" xfId="0" applyAlignment="1" applyProtection="1"/>
    <xf numFmtId="0" fontId="12" fillId="0" borderId="0" xfId="0" applyFont="1" applyProtection="1"/>
    <xf numFmtId="0" fontId="5" fillId="0" borderId="6" xfId="0" applyFont="1" applyBorder="1" applyAlignment="1" applyProtection="1">
      <alignment horizontal="right"/>
    </xf>
    <xf numFmtId="0" fontId="5" fillId="0" borderId="0" xfId="0" applyFont="1" applyBorder="1" applyAlignment="1" applyProtection="1">
      <alignment horizontal="right"/>
    </xf>
    <xf numFmtId="0" fontId="2" fillId="4" borderId="0" xfId="1" applyFill="1" applyBorder="1" applyProtection="1"/>
    <xf numFmtId="0" fontId="0" fillId="0" borderId="0" xfId="0" applyAlignment="1" applyProtection="1">
      <alignment wrapText="1"/>
    </xf>
    <xf numFmtId="0" fontId="0" fillId="5" borderId="0" xfId="0" applyFill="1" applyProtection="1"/>
    <xf numFmtId="49" fontId="6" fillId="0" borderId="0" xfId="2" applyNumberFormat="1" applyFont="1" applyFill="1" applyBorder="1" applyAlignment="1" applyProtection="1">
      <alignment vertical="top"/>
    </xf>
    <xf numFmtId="0" fontId="0" fillId="0" borderId="0" xfId="0" applyFill="1" applyBorder="1" applyAlignment="1" applyProtection="1"/>
    <xf numFmtId="0" fontId="11" fillId="0" borderId="0" xfId="4" applyProtection="1"/>
    <xf numFmtId="0" fontId="13" fillId="6" borderId="6" xfId="1" applyFont="1" applyFill="1" applyBorder="1" applyProtection="1"/>
    <xf numFmtId="0" fontId="14" fillId="0" borderId="0" xfId="0" applyFont="1" applyProtection="1"/>
    <xf numFmtId="0" fontId="14" fillId="0" borderId="6" xfId="0" applyFont="1" applyBorder="1" applyProtection="1"/>
    <xf numFmtId="0" fontId="0" fillId="0" borderId="0" xfId="0" applyFont="1" applyAlignment="1" applyProtection="1">
      <alignment vertical="center"/>
    </xf>
    <xf numFmtId="0" fontId="11" fillId="0" borderId="0" xfId="4" applyBorder="1" applyProtection="1"/>
    <xf numFmtId="0" fontId="7" fillId="0" borderId="0" xfId="0" applyFont="1" applyFill="1" applyBorder="1" applyAlignment="1" applyProtection="1"/>
    <xf numFmtId="0" fontId="7" fillId="0" borderId="0" xfId="1" applyFont="1" applyFill="1" applyBorder="1" applyAlignment="1" applyProtection="1"/>
    <xf numFmtId="0" fontId="7" fillId="0" borderId="0" xfId="0" applyFont="1" applyFill="1" applyBorder="1" applyProtection="1"/>
    <xf numFmtId="0" fontId="9" fillId="0" borderId="0" xfId="0" applyFont="1" applyFill="1" applyBorder="1" applyProtection="1"/>
    <xf numFmtId="0" fontId="10" fillId="0" borderId="0" xfId="0" applyFont="1" applyAlignment="1" applyProtection="1">
      <alignment vertical="center"/>
    </xf>
    <xf numFmtId="0" fontId="5" fillId="0" borderId="0" xfId="0" applyFont="1" applyFill="1" applyBorder="1" applyAlignment="1" applyProtection="1">
      <alignment horizontal="center"/>
    </xf>
    <xf numFmtId="0" fontId="8" fillId="0" borderId="0" xfId="3"/>
    <xf numFmtId="0" fontId="14" fillId="0" borderId="0" xfId="0" applyFont="1"/>
    <xf numFmtId="165" fontId="13" fillId="0" borderId="6" xfId="0" applyNumberFormat="1" applyFont="1" applyBorder="1" applyAlignment="1" applyProtection="1">
      <alignment horizontal="right"/>
    </xf>
    <xf numFmtId="164" fontId="13" fillId="0" borderId="6" xfId="0" applyNumberFormat="1" applyFont="1" applyBorder="1" applyAlignment="1" applyProtection="1">
      <alignment horizontal="right"/>
    </xf>
    <xf numFmtId="164" fontId="14" fillId="0" borderId="6" xfId="0" applyNumberFormat="1" applyFont="1" applyBorder="1" applyAlignment="1" applyProtection="1">
      <alignment horizontal="right"/>
    </xf>
    <xf numFmtId="0" fontId="2" fillId="2" borderId="6" xfId="1" applyBorder="1" applyAlignment="1" applyProtection="1">
      <alignment horizontal="left"/>
      <protection locked="0"/>
    </xf>
    <xf numFmtId="2" fontId="0" fillId="7" borderId="6" xfId="0" applyNumberFormat="1" applyFill="1" applyBorder="1" applyAlignment="1">
      <alignment vertical="center" wrapText="1"/>
    </xf>
    <xf numFmtId="0" fontId="7" fillId="0" borderId="0" xfId="0" applyFont="1" applyProtection="1"/>
    <xf numFmtId="0" fontId="9" fillId="0" borderId="6" xfId="0" applyFont="1" applyBorder="1" applyAlignment="1" applyProtection="1">
      <alignment horizontal="right"/>
    </xf>
    <xf numFmtId="0" fontId="7" fillId="2" borderId="6" xfId="1" applyFont="1" applyBorder="1" applyAlignment="1" applyProtection="1">
      <alignment horizontal="center"/>
      <protection locked="0"/>
    </xf>
    <xf numFmtId="0" fontId="7" fillId="0" borderId="0" xfId="1" applyFont="1" applyFill="1" applyBorder="1" applyAlignment="1" applyProtection="1">
      <alignment horizontal="center"/>
      <protection locked="0"/>
    </xf>
    <xf numFmtId="0" fontId="7" fillId="2" borderId="6" xfId="1" applyFont="1" applyBorder="1" applyAlignment="1" applyProtection="1">
      <alignment horizontal="right"/>
      <protection locked="0"/>
    </xf>
    <xf numFmtId="0" fontId="0" fillId="0" borderId="0" xfId="0" applyAlignment="1">
      <alignment horizontal="right"/>
    </xf>
    <xf numFmtId="0" fontId="8" fillId="0" borderId="0" xfId="3" applyFill="1" applyBorder="1" applyAlignment="1" applyProtection="1"/>
    <xf numFmtId="49" fontId="2" fillId="2" borderId="6" xfId="1" applyNumberFormat="1" applyBorder="1" applyProtection="1">
      <protection locked="0"/>
    </xf>
    <xf numFmtId="2" fontId="7" fillId="8" borderId="6" xfId="1" applyNumberFormat="1" applyFont="1" applyFill="1" applyBorder="1" applyAlignment="1" applyProtection="1">
      <alignment horizontal="right"/>
      <protection locked="0"/>
    </xf>
    <xf numFmtId="0" fontId="0" fillId="0" borderId="0" xfId="0" applyBorder="1"/>
    <xf numFmtId="0" fontId="14" fillId="0" borderId="0" xfId="0" applyFont="1" applyBorder="1" applyProtection="1"/>
    <xf numFmtId="165" fontId="13" fillId="0" borderId="0" xfId="0" applyNumberFormat="1" applyFont="1" applyBorder="1" applyAlignment="1" applyProtection="1">
      <alignment horizontal="right"/>
    </xf>
    <xf numFmtId="164" fontId="13" fillId="0" borderId="0" xfId="0" applyNumberFormat="1" applyFont="1" applyBorder="1" applyAlignment="1" applyProtection="1">
      <alignment horizontal="right"/>
    </xf>
    <xf numFmtId="164" fontId="14" fillId="0" borderId="0" xfId="0" applyNumberFormat="1" applyFont="1" applyBorder="1" applyAlignment="1" applyProtection="1">
      <alignment horizontal="right"/>
    </xf>
    <xf numFmtId="0" fontId="15" fillId="0" borderId="0" xfId="0" applyFont="1" applyBorder="1" applyAlignment="1" applyProtection="1"/>
    <xf numFmtId="0" fontId="0" fillId="0" borderId="0" xfId="0" applyBorder="1" applyAlignment="1"/>
    <xf numFmtId="0" fontId="17" fillId="0" borderId="0" xfId="0" applyFont="1" applyBorder="1" applyAlignment="1" applyProtection="1"/>
    <xf numFmtId="0" fontId="2" fillId="0" borderId="0" xfId="1" applyFill="1" applyBorder="1" applyAlignment="1" applyProtection="1">
      <protection locked="0"/>
    </xf>
    <xf numFmtId="0" fontId="7" fillId="0" borderId="0" xfId="0" applyFont="1" applyAlignment="1" applyProtection="1"/>
    <xf numFmtId="0" fontId="13" fillId="0" borderId="0" xfId="0" applyFont="1" applyFill="1" applyBorder="1" applyAlignment="1" applyProtection="1"/>
    <xf numFmtId="0" fontId="18" fillId="0" borderId="0" xfId="0" applyFont="1" applyFill="1" applyBorder="1" applyAlignment="1" applyProtection="1"/>
    <xf numFmtId="0" fontId="7" fillId="2" borderId="3" xfId="1" applyFont="1" applyBorder="1" applyAlignment="1" applyProtection="1">
      <alignment horizontal="left"/>
      <protection locked="0"/>
    </xf>
    <xf numFmtId="0" fontId="7" fillId="2" borderId="4" xfId="1" applyFont="1" applyBorder="1" applyAlignment="1" applyProtection="1">
      <alignment horizontal="left"/>
      <protection locked="0"/>
    </xf>
    <xf numFmtId="0" fontId="7" fillId="2" borderId="5" xfId="1" applyFont="1" applyBorder="1" applyAlignment="1" applyProtection="1">
      <alignment horizontal="left"/>
      <protection locked="0"/>
    </xf>
    <xf numFmtId="0" fontId="8" fillId="2" borderId="3" xfId="3" applyFill="1" applyBorder="1" applyAlignment="1" applyProtection="1">
      <alignment horizontal="left"/>
      <protection locked="0"/>
    </xf>
    <xf numFmtId="0" fontId="8" fillId="2" borderId="4" xfId="3" applyFill="1" applyBorder="1" applyAlignment="1" applyProtection="1">
      <alignment horizontal="left"/>
      <protection locked="0"/>
    </xf>
    <xf numFmtId="0" fontId="8" fillId="2" borderId="5" xfId="3" applyFill="1" applyBorder="1" applyAlignment="1" applyProtection="1">
      <alignment horizontal="left"/>
      <protection locked="0"/>
    </xf>
    <xf numFmtId="0" fontId="7" fillId="2" borderId="3" xfId="3" applyFont="1" applyFill="1" applyBorder="1" applyAlignment="1" applyProtection="1">
      <alignment horizontal="left"/>
      <protection locked="0"/>
    </xf>
    <xf numFmtId="0" fontId="7" fillId="2" borderId="4" xfId="3" applyFont="1" applyFill="1" applyBorder="1" applyAlignment="1" applyProtection="1">
      <alignment horizontal="left"/>
      <protection locked="0"/>
    </xf>
    <xf numFmtId="0" fontId="7" fillId="2" borderId="5" xfId="3" applyFont="1" applyFill="1" applyBorder="1" applyAlignment="1" applyProtection="1">
      <alignment horizontal="left"/>
      <protection locked="0"/>
    </xf>
    <xf numFmtId="0" fontId="7" fillId="2" borderId="3" xfId="1" applyFont="1" applyBorder="1" applyAlignment="1" applyProtection="1">
      <protection locked="0"/>
    </xf>
    <xf numFmtId="0" fontId="7" fillId="2" borderId="4" xfId="1" applyFont="1" applyBorder="1" applyAlignment="1" applyProtection="1">
      <protection locked="0"/>
    </xf>
    <xf numFmtId="0" fontId="7" fillId="2" borderId="5" xfId="1" applyFont="1" applyBorder="1" applyAlignment="1" applyProtection="1">
      <protection locked="0"/>
    </xf>
    <xf numFmtId="0" fontId="8" fillId="2" borderId="4" xfId="3" applyFill="1" applyBorder="1" applyAlignment="1" applyProtection="1">
      <protection locked="0"/>
    </xf>
    <xf numFmtId="0" fontId="8" fillId="2" borderId="5" xfId="3" applyFill="1" applyBorder="1" applyAlignment="1" applyProtection="1">
      <protection locked="0"/>
    </xf>
    <xf numFmtId="0" fontId="18" fillId="0" borderId="0" xfId="0" applyFont="1" applyFill="1" applyBorder="1" applyAlignment="1" applyProtection="1">
      <alignment horizontal="left"/>
    </xf>
    <xf numFmtId="2" fontId="0" fillId="4" borderId="6" xfId="0" applyNumberFormat="1" applyFill="1" applyBorder="1" applyAlignment="1">
      <alignment vertical="center" wrapText="1"/>
    </xf>
    <xf numFmtId="0" fontId="9" fillId="0" borderId="0" xfId="0" applyFont="1" applyBorder="1" applyAlignment="1" applyProtection="1">
      <alignment horizontal="right"/>
    </xf>
    <xf numFmtId="2" fontId="0" fillId="4" borderId="0" xfId="0" applyNumberFormat="1" applyFill="1" applyBorder="1" applyAlignment="1">
      <alignment vertical="center" wrapText="1"/>
    </xf>
    <xf numFmtId="0" fontId="0" fillId="5" borderId="0" xfId="0" applyFill="1" applyAlignment="1" applyProtection="1">
      <alignment horizontal="center"/>
    </xf>
    <xf numFmtId="0" fontId="16" fillId="0" borderId="0" xfId="0" applyFont="1" applyBorder="1" applyAlignment="1">
      <alignment wrapText="1"/>
    </xf>
    <xf numFmtId="0" fontId="8" fillId="0" borderId="0" xfId="3" applyBorder="1" applyAlignment="1" applyProtection="1">
      <alignment wrapText="1"/>
    </xf>
    <xf numFmtId="0" fontId="8" fillId="0" borderId="10" xfId="3" applyBorder="1" applyAlignment="1" applyProtection="1">
      <alignment wrapText="1"/>
    </xf>
    <xf numFmtId="0" fontId="8" fillId="0" borderId="0" xfId="3" applyBorder="1" applyAlignment="1" applyProtection="1"/>
    <xf numFmtId="0" fontId="8" fillId="2" borderId="1" xfId="3" applyFill="1" applyBorder="1" applyProtection="1">
      <protection locked="0"/>
    </xf>
    <xf numFmtId="0" fontId="2" fillId="2" borderId="1" xfId="1" applyProtection="1">
      <protection locked="0"/>
    </xf>
    <xf numFmtId="0" fontId="8" fillId="2" borderId="3" xfId="3" applyFill="1" applyBorder="1" applyAlignment="1" applyProtection="1">
      <protection locked="0"/>
    </xf>
    <xf numFmtId="0" fontId="4" fillId="0" borderId="22" xfId="0" applyFont="1" applyBorder="1" applyAlignment="1" applyProtection="1">
      <alignment horizontal="center" vertical="center"/>
    </xf>
    <xf numFmtId="0" fontId="4" fillId="0" borderId="6" xfId="0" applyFont="1" applyBorder="1" applyAlignment="1" applyProtection="1">
      <alignment horizontal="center" vertical="center"/>
    </xf>
    <xf numFmtId="0" fontId="0" fillId="0" borderId="6" xfId="0" applyFill="1" applyBorder="1" applyAlignment="1" applyProtection="1"/>
    <xf numFmtId="0" fontId="0" fillId="0" borderId="9" xfId="0" applyFill="1" applyBorder="1" applyAlignment="1" applyProtection="1"/>
    <xf numFmtId="0" fontId="0" fillId="0" borderId="21" xfId="0" applyFill="1" applyBorder="1" applyAlignment="1" applyProtection="1"/>
    <xf numFmtId="0" fontId="0" fillId="0" borderId="23" xfId="0" applyFill="1" applyBorder="1" applyAlignment="1" applyProtection="1"/>
    <xf numFmtId="0" fontId="0" fillId="0" borderId="9" xfId="0" applyBorder="1"/>
    <xf numFmtId="0" fontId="0" fillId="0" borderId="9" xfId="0" applyBorder="1" applyProtection="1"/>
    <xf numFmtId="2" fontId="0" fillId="4" borderId="21" xfId="0" applyNumberFormat="1" applyFill="1" applyBorder="1" applyAlignment="1">
      <alignment vertical="center" wrapText="1"/>
    </xf>
    <xf numFmtId="0" fontId="4" fillId="0" borderId="24" xfId="0" applyFont="1" applyBorder="1" applyAlignment="1" applyProtection="1">
      <alignment horizontal="center" vertical="center"/>
    </xf>
    <xf numFmtId="0" fontId="0" fillId="0" borderId="23" xfId="0" applyBorder="1"/>
    <xf numFmtId="0" fontId="0" fillId="0" borderId="23" xfId="0" applyBorder="1" applyProtection="1"/>
    <xf numFmtId="0" fontId="4" fillId="0" borderId="22" xfId="0" applyFont="1" applyBorder="1" applyAlignment="1">
      <alignment horizontal="center" vertical="center"/>
    </xf>
    <xf numFmtId="0" fontId="13" fillId="11" borderId="6" xfId="1" applyFont="1" applyFill="1" applyBorder="1" applyProtection="1"/>
    <xf numFmtId="0" fontId="9" fillId="12" borderId="22" xfId="1" applyFont="1" applyFill="1" applyBorder="1" applyAlignment="1" applyProtection="1">
      <alignment horizontal="center"/>
      <protection locked="0"/>
    </xf>
    <xf numFmtId="0" fontId="7" fillId="13" borderId="8" xfId="1" applyFont="1" applyFill="1" applyBorder="1" applyAlignment="1" applyProtection="1">
      <alignment horizontal="center"/>
      <protection locked="0"/>
    </xf>
    <xf numFmtId="0" fontId="9" fillId="12" borderId="22" xfId="0" applyFont="1" applyFill="1" applyBorder="1" applyAlignment="1" applyProtection="1">
      <alignment horizontal="center"/>
    </xf>
    <xf numFmtId="0" fontId="7" fillId="13" borderId="8" xfId="0" applyFont="1" applyFill="1" applyBorder="1" applyAlignment="1" applyProtection="1">
      <alignment horizontal="center"/>
    </xf>
    <xf numFmtId="0" fontId="9" fillId="12" borderId="22" xfId="0" applyFont="1" applyFill="1" applyBorder="1" applyAlignment="1">
      <alignment horizontal="center"/>
    </xf>
    <xf numFmtId="0" fontId="7" fillId="13" borderId="22" xfId="0" applyFont="1" applyFill="1" applyBorder="1" applyAlignment="1">
      <alignment horizontal="center"/>
    </xf>
    <xf numFmtId="0" fontId="7" fillId="13" borderId="8" xfId="0" applyFont="1" applyFill="1" applyBorder="1" applyAlignment="1">
      <alignment horizontal="center"/>
    </xf>
    <xf numFmtId="0" fontId="7" fillId="13" borderId="6" xfId="0" applyFont="1" applyFill="1" applyBorder="1" applyAlignment="1">
      <alignment horizontal="center"/>
    </xf>
    <xf numFmtId="0" fontId="7" fillId="13" borderId="24" xfId="0" applyFont="1" applyFill="1" applyBorder="1" applyAlignment="1">
      <alignment horizontal="center"/>
    </xf>
    <xf numFmtId="166" fontId="0" fillId="0" borderId="0" xfId="0" applyNumberFormat="1"/>
    <xf numFmtId="0" fontId="19" fillId="9" borderId="14" xfId="0" applyFont="1" applyFill="1" applyBorder="1" applyAlignment="1" applyProtection="1">
      <alignment horizontal="center"/>
    </xf>
    <xf numFmtId="0" fontId="19" fillId="9" borderId="15" xfId="0" applyFont="1" applyFill="1" applyBorder="1" applyAlignment="1" applyProtection="1">
      <alignment horizontal="center"/>
    </xf>
    <xf numFmtId="0" fontId="19" fillId="9" borderId="16" xfId="0" applyFont="1" applyFill="1" applyBorder="1" applyAlignment="1" applyProtection="1">
      <alignment horizontal="center"/>
    </xf>
    <xf numFmtId="0" fontId="2" fillId="2" borderId="7" xfId="1" applyBorder="1" applyAlignment="1" applyProtection="1">
      <alignment horizontal="left"/>
    </xf>
    <xf numFmtId="0" fontId="2" fillId="2" borderId="0" xfId="1" applyBorder="1" applyAlignment="1" applyProtection="1">
      <alignment horizontal="left"/>
    </xf>
    <xf numFmtId="0" fontId="0" fillId="9" borderId="0" xfId="0" applyFont="1" applyFill="1" applyAlignment="1" applyProtection="1">
      <alignment horizontal="center" vertical="center"/>
    </xf>
    <xf numFmtId="0" fontId="4" fillId="0" borderId="6" xfId="0" applyFont="1" applyBorder="1" applyAlignment="1" applyProtection="1">
      <alignment horizontal="center"/>
    </xf>
    <xf numFmtId="0" fontId="20" fillId="9" borderId="11" xfId="3" applyFont="1" applyFill="1" applyBorder="1" applyAlignment="1" applyProtection="1">
      <alignment horizontal="center"/>
    </xf>
    <xf numFmtId="0" fontId="19" fillId="9" borderId="12" xfId="0" applyFont="1" applyFill="1" applyBorder="1" applyAlignment="1" applyProtection="1">
      <alignment horizontal="center"/>
    </xf>
    <xf numFmtId="0" fontId="19" fillId="9" borderId="13" xfId="0" applyFont="1" applyFill="1" applyBorder="1" applyAlignment="1" applyProtection="1">
      <alignment horizontal="center"/>
    </xf>
    <xf numFmtId="0" fontId="9" fillId="0" borderId="8" xfId="0" applyFont="1" applyFill="1" applyBorder="1" applyAlignment="1" applyProtection="1">
      <alignment horizontal="center"/>
    </xf>
    <xf numFmtId="0" fontId="9" fillId="0" borderId="9" xfId="0" applyFont="1" applyFill="1" applyBorder="1" applyAlignment="1" applyProtection="1">
      <alignment horizontal="center"/>
    </xf>
    <xf numFmtId="0" fontId="9" fillId="0" borderId="17" xfId="0" applyFont="1" applyFill="1" applyBorder="1" applyAlignment="1" applyProtection="1">
      <alignment horizontal="center"/>
    </xf>
    <xf numFmtId="0" fontId="0" fillId="9" borderId="14" xfId="0" applyFont="1" applyFill="1" applyBorder="1" applyAlignment="1" applyProtection="1">
      <alignment horizontal="center"/>
    </xf>
    <xf numFmtId="0" fontId="0" fillId="9" borderId="15" xfId="0" applyFont="1" applyFill="1" applyBorder="1" applyAlignment="1" applyProtection="1">
      <alignment horizontal="center"/>
    </xf>
    <xf numFmtId="0" fontId="0" fillId="9" borderId="16" xfId="0" applyFont="1" applyFill="1" applyBorder="1" applyAlignment="1" applyProtection="1">
      <alignment horizontal="center"/>
    </xf>
    <xf numFmtId="0" fontId="7" fillId="2" borderId="8" xfId="1" applyFont="1" applyBorder="1" applyAlignment="1" applyProtection="1">
      <alignment horizontal="center"/>
      <protection locked="0"/>
    </xf>
    <xf numFmtId="0" fontId="7" fillId="2" borderId="9" xfId="1" applyFont="1" applyBorder="1" applyAlignment="1" applyProtection="1">
      <alignment horizontal="center"/>
      <protection locked="0"/>
    </xf>
    <xf numFmtId="0" fontId="1" fillId="9" borderId="18" xfId="3" applyFont="1" applyFill="1" applyBorder="1" applyAlignment="1" applyProtection="1">
      <alignment horizontal="center"/>
    </xf>
    <xf numFmtId="0" fontId="0" fillId="9" borderId="19" xfId="1" applyFont="1" applyFill="1" applyBorder="1" applyAlignment="1" applyProtection="1">
      <alignment horizontal="center"/>
    </xf>
    <xf numFmtId="0" fontId="0" fillId="9" borderId="20" xfId="1" applyFont="1" applyFill="1" applyBorder="1" applyAlignment="1" applyProtection="1">
      <alignment horizontal="center"/>
    </xf>
    <xf numFmtId="0" fontId="7" fillId="0" borderId="0" xfId="2" applyFont="1" applyFill="1" applyBorder="1" applyAlignment="1" applyProtection="1"/>
    <xf numFmtId="0" fontId="13" fillId="0" borderId="0" xfId="2" applyNumberFormat="1" applyFont="1" applyFill="1" applyBorder="1" applyAlignment="1" applyProtection="1">
      <alignment horizontal="left" vertical="top"/>
    </xf>
    <xf numFmtId="0" fontId="15" fillId="10" borderId="8" xfId="0" applyFont="1" applyFill="1" applyBorder="1" applyAlignment="1" applyProtection="1">
      <alignment horizontal="center"/>
    </xf>
    <xf numFmtId="0" fontId="15" fillId="10" borderId="9" xfId="0" applyFont="1" applyFill="1" applyBorder="1" applyAlignment="1" applyProtection="1">
      <alignment horizontal="center"/>
    </xf>
    <xf numFmtId="0" fontId="1" fillId="9" borderId="14" xfId="3" applyFont="1" applyFill="1" applyBorder="1" applyAlignment="1" applyProtection="1">
      <alignment horizontal="center"/>
    </xf>
    <xf numFmtId="0" fontId="1" fillId="9" borderId="11" xfId="3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3" xfId="0" applyFont="1" applyFill="1" applyBorder="1" applyAlignment="1" applyProtection="1">
      <alignment horizontal="center"/>
    </xf>
  </cellXfs>
  <cellStyles count="5">
    <cellStyle name="Explanatory Text" xfId="4" builtinId="53"/>
    <cellStyle name="Hyperlink" xfId="3" builtinId="8"/>
    <cellStyle name="Input" xfId="1" builtinId="20"/>
    <cellStyle name="Normal" xfId="0" builtinId="0"/>
    <cellStyle name="Output" xfId="2" builtinId="21"/>
  </cellStyles>
  <dxfs count="0"/>
  <tableStyles count="0" defaultTableStyle="TableStyleMedium9" defaultPivotStyle="PivotStyleLight16"/>
  <colors>
    <mruColors>
      <color rgb="FFFFCC99"/>
      <color rgb="FF00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26</xdr:row>
          <xdr:rowOff>95250</xdr:rowOff>
        </xdr:from>
        <xdr:to>
          <xdr:col>6</xdr:col>
          <xdr:colOff>695325</xdr:colOff>
          <xdr:row>28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Email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8</xdr:row>
          <xdr:rowOff>9525</xdr:rowOff>
        </xdr:from>
        <xdr:to>
          <xdr:col>10</xdr:col>
          <xdr:colOff>542925</xdr:colOff>
          <xdr:row>10</xdr:row>
          <xdr:rowOff>28575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Attachments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4</xdr:row>
          <xdr:rowOff>171450</xdr:rowOff>
        </xdr:from>
        <xdr:to>
          <xdr:col>10</xdr:col>
          <xdr:colOff>561975</xdr:colOff>
          <xdr:row>6</xdr:row>
          <xdr:rowOff>57150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ASC/PrintSurveyList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781050</xdr:colOff>
          <xdr:row>26</xdr:row>
          <xdr:rowOff>104775</xdr:rowOff>
        </xdr:from>
        <xdr:to>
          <xdr:col>7</xdr:col>
          <xdr:colOff>514350</xdr:colOff>
          <xdr:row>28</xdr:row>
          <xdr:rowOff>47625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SOS Email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23</xdr:row>
          <xdr:rowOff>95250</xdr:rowOff>
        </xdr:from>
        <xdr:to>
          <xdr:col>5</xdr:col>
          <xdr:colOff>990600</xdr:colOff>
          <xdr:row>25</xdr:row>
          <xdr:rowOff>28575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Email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8</xdr:row>
          <xdr:rowOff>9525</xdr:rowOff>
        </xdr:from>
        <xdr:to>
          <xdr:col>10</xdr:col>
          <xdr:colOff>542925</xdr:colOff>
          <xdr:row>10</xdr:row>
          <xdr:rowOff>28575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Attachments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4</xdr:row>
          <xdr:rowOff>171450</xdr:rowOff>
        </xdr:from>
        <xdr:to>
          <xdr:col>10</xdr:col>
          <xdr:colOff>561975</xdr:colOff>
          <xdr:row>6</xdr:row>
          <xdr:rowOff>57150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ASC/PrintSurveyList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23</xdr:row>
          <xdr:rowOff>66675</xdr:rowOff>
        </xdr:from>
        <xdr:to>
          <xdr:col>6</xdr:col>
          <xdr:colOff>714375</xdr:colOff>
          <xdr:row>25</xdr:row>
          <xdr:rowOff>9525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SOS Email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Krapes@slb.co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Ladams@cimarex.com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mailto:computingcenter@slb.com" TargetMode="External"/><Relationship Id="rId7" Type="http://schemas.openxmlformats.org/officeDocument/2006/relationships/hyperlink" Target="mailto:Ngeier@cimarex.com" TargetMode="External"/><Relationship Id="rId12" Type="http://schemas.openxmlformats.org/officeDocument/2006/relationships/hyperlink" Target="mailto:wellsite39@cimarex.com" TargetMode="External"/><Relationship Id="rId2" Type="http://schemas.openxmlformats.org/officeDocument/2006/relationships/hyperlink" Target="mailto:okcdec@slb.com" TargetMode="External"/><Relationship Id="rId1" Type="http://schemas.openxmlformats.org/officeDocument/2006/relationships/hyperlink" Target="mailto:Central.OpsGeos@ApacheCorp.com" TargetMode="External"/><Relationship Id="rId6" Type="http://schemas.openxmlformats.org/officeDocument/2006/relationships/hyperlink" Target="mailto:Rgoddard@cimarex.com" TargetMode="External"/><Relationship Id="rId11" Type="http://schemas.openxmlformats.org/officeDocument/2006/relationships/hyperlink" Target="mailto:Rreynolds@cimarex.com" TargetMode="External"/><Relationship Id="rId5" Type="http://schemas.openxmlformats.org/officeDocument/2006/relationships/hyperlink" Target="mailto:Rclark@cimarex.com" TargetMode="External"/><Relationship Id="rId10" Type="http://schemas.openxmlformats.org/officeDocument/2006/relationships/hyperlink" Target="mailto:Jleader@cimarex.com" TargetMode="External"/><Relationship Id="rId4" Type="http://schemas.openxmlformats.org/officeDocument/2006/relationships/hyperlink" Target="mailto:Tulsadirectional@cimarex.com" TargetMode="External"/><Relationship Id="rId9" Type="http://schemas.openxmlformats.org/officeDocument/2006/relationships/hyperlink" Target="mailto:Rswearingen@cimarex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S89"/>
  <sheetViews>
    <sheetView tabSelected="1" topLeftCell="A4" zoomScale="80" zoomScaleNormal="80" workbookViewId="0">
      <selection activeCell="J22" sqref="J22"/>
    </sheetView>
  </sheetViews>
  <sheetFormatPr defaultRowHeight="15" x14ac:dyDescent="0.25"/>
  <cols>
    <col min="1" max="1" width="15.5703125" customWidth="1"/>
    <col min="2" max="2" width="14.85546875" customWidth="1"/>
    <col min="3" max="3" width="21.28515625" customWidth="1"/>
    <col min="4" max="4" width="15.28515625" customWidth="1"/>
    <col min="5" max="5" width="13.140625" customWidth="1"/>
    <col min="6" max="6" width="17" customWidth="1"/>
    <col min="7" max="7" width="14" customWidth="1"/>
    <col min="8" max="8" width="15.28515625" customWidth="1"/>
    <col min="9" max="9" width="17.85546875" customWidth="1"/>
    <col min="10" max="10" width="14.7109375" customWidth="1"/>
    <col min="13" max="13" width="10.42578125" bestFit="1" customWidth="1"/>
    <col min="16" max="16" width="18" bestFit="1" customWidth="1"/>
  </cols>
  <sheetData>
    <row r="1" spans="1:19" x14ac:dyDescent="0.25">
      <c r="A1" s="2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9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9" x14ac:dyDescent="0.25">
      <c r="A3" s="1" t="s">
        <v>3</v>
      </c>
      <c r="B3" s="1"/>
      <c r="C3" s="1"/>
      <c r="D3" s="1"/>
      <c r="E3" s="1"/>
      <c r="F3" s="109" t="s">
        <v>36</v>
      </c>
      <c r="G3" s="110"/>
      <c r="H3" s="110"/>
      <c r="I3" s="1"/>
      <c r="J3" s="1"/>
      <c r="K3" s="1"/>
      <c r="L3" s="1"/>
      <c r="M3" s="1"/>
    </row>
    <row r="4" spans="1:19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9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9" ht="18.75" x14ac:dyDescent="0.3">
      <c r="A6" s="8" t="s">
        <v>35</v>
      </c>
      <c r="B6" s="8"/>
      <c r="C6" s="1"/>
      <c r="D6" s="1"/>
      <c r="E6" s="1"/>
      <c r="F6" s="1"/>
      <c r="G6" s="1"/>
      <c r="H6" s="1"/>
      <c r="I6" s="1"/>
      <c r="J6" s="1"/>
      <c r="K6" s="1"/>
      <c r="L6" s="111" t="s">
        <v>120</v>
      </c>
      <c r="M6" s="111"/>
      <c r="N6" s="111"/>
      <c r="O6" s="111"/>
      <c r="P6" s="111"/>
      <c r="Q6" s="111"/>
      <c r="R6" s="111"/>
    </row>
    <row r="7" spans="1:19" x14ac:dyDescent="0.25">
      <c r="A7" s="1"/>
      <c r="B7" s="1"/>
      <c r="C7" s="1"/>
      <c r="D7" s="1"/>
      <c r="E7" s="1" t="s">
        <v>40</v>
      </c>
      <c r="F7" s="1"/>
      <c r="G7" s="1"/>
      <c r="H7" s="1"/>
      <c r="I7" s="1"/>
      <c r="J7" s="1"/>
      <c r="K7" s="1"/>
      <c r="L7" s="7"/>
      <c r="M7" s="7"/>
      <c r="N7" s="7"/>
    </row>
    <row r="8" spans="1:19" x14ac:dyDescent="0.25">
      <c r="A8" s="1"/>
      <c r="B8" s="112" t="s">
        <v>33</v>
      </c>
      <c r="C8" s="112"/>
      <c r="D8" s="1"/>
      <c r="E8" s="1">
        <v>1</v>
      </c>
      <c r="F8" s="1" t="s">
        <v>48</v>
      </c>
      <c r="G8" s="1">
        <v>1</v>
      </c>
      <c r="H8" s="1" t="s">
        <v>32</v>
      </c>
      <c r="I8" s="1"/>
      <c r="J8" s="1"/>
      <c r="K8" s="1"/>
      <c r="L8" s="1"/>
      <c r="M8" s="1"/>
    </row>
    <row r="9" spans="1:19" x14ac:dyDescent="0.25">
      <c r="A9" s="1"/>
      <c r="B9" s="9" t="s">
        <v>34</v>
      </c>
      <c r="C9" s="33" t="s">
        <v>105</v>
      </c>
      <c r="D9" s="1"/>
      <c r="E9" s="1">
        <v>2</v>
      </c>
      <c r="F9" s="1" t="s">
        <v>47</v>
      </c>
      <c r="G9" s="1">
        <v>2</v>
      </c>
      <c r="H9" s="1" t="s">
        <v>41</v>
      </c>
      <c r="K9" s="1"/>
      <c r="L9" s="113" t="s">
        <v>121</v>
      </c>
      <c r="M9" s="114"/>
      <c r="N9" s="114"/>
      <c r="O9" s="114"/>
      <c r="P9" s="114"/>
      <c r="Q9" s="114"/>
      <c r="R9" s="114"/>
      <c r="S9" s="115"/>
    </row>
    <row r="10" spans="1:19" x14ac:dyDescent="0.25">
      <c r="A10" s="1"/>
      <c r="B10" s="9" t="s">
        <v>30</v>
      </c>
      <c r="C10" s="33" t="s">
        <v>106</v>
      </c>
      <c r="D10" s="1"/>
      <c r="E10" s="1"/>
      <c r="F10" s="1"/>
      <c r="K10" s="1"/>
      <c r="L10" s="106" t="s">
        <v>122</v>
      </c>
      <c r="M10" s="107"/>
      <c r="N10" s="107"/>
      <c r="O10" s="107"/>
      <c r="P10" s="107"/>
      <c r="Q10" s="107"/>
      <c r="R10" s="107"/>
      <c r="S10" s="108"/>
    </row>
    <row r="11" spans="1:19" x14ac:dyDescent="0.25">
      <c r="A11" s="1"/>
      <c r="B11" s="9" t="s">
        <v>46</v>
      </c>
      <c r="C11" s="42" t="s">
        <v>134</v>
      </c>
      <c r="D11" s="1"/>
      <c r="E11" s="1"/>
      <c r="F11" s="1"/>
      <c r="K11" s="1"/>
      <c r="L11" s="106" t="s">
        <v>123</v>
      </c>
      <c r="M11" s="107"/>
      <c r="N11" s="107"/>
      <c r="O11" s="107"/>
      <c r="P11" s="107"/>
      <c r="Q11" s="107"/>
      <c r="R11" s="107"/>
      <c r="S11" s="108"/>
    </row>
    <row r="12" spans="1:19" x14ac:dyDescent="0.25">
      <c r="A12" s="1"/>
      <c r="B12" s="10"/>
      <c r="C12" s="11"/>
      <c r="D12" s="1"/>
      <c r="E12" s="1"/>
      <c r="F12" s="1"/>
      <c r="G12" s="1"/>
      <c r="L12" s="119"/>
      <c r="M12" s="120"/>
      <c r="N12" s="120"/>
      <c r="O12" s="120"/>
      <c r="P12" s="120"/>
      <c r="Q12" s="120"/>
      <c r="R12" s="120"/>
      <c r="S12" s="121"/>
    </row>
    <row r="13" spans="1:19" x14ac:dyDescent="0.25">
      <c r="A13" s="1"/>
      <c r="B13" s="116" t="s">
        <v>4</v>
      </c>
      <c r="C13" s="117"/>
      <c r="D13" s="35"/>
      <c r="E13" s="1"/>
      <c r="F13" s="116" t="s">
        <v>51</v>
      </c>
      <c r="G13" s="118"/>
      <c r="H13" s="117"/>
      <c r="L13" s="119"/>
      <c r="M13" s="120"/>
      <c r="N13" s="120"/>
      <c r="O13" s="120"/>
      <c r="P13" s="120"/>
      <c r="Q13" s="120"/>
      <c r="R13" s="120"/>
      <c r="S13" s="121"/>
    </row>
    <row r="14" spans="1:19" x14ac:dyDescent="0.25">
      <c r="A14" s="1"/>
      <c r="B14" s="36" t="s">
        <v>49</v>
      </c>
      <c r="C14" s="39">
        <v>25</v>
      </c>
      <c r="D14" s="35"/>
      <c r="E14" s="1"/>
      <c r="F14" s="36" t="s">
        <v>52</v>
      </c>
      <c r="G14" s="122">
        <v>20</v>
      </c>
      <c r="H14" s="123"/>
      <c r="L14" s="124"/>
      <c r="M14" s="125"/>
      <c r="N14" s="125"/>
      <c r="O14" s="125"/>
      <c r="P14" s="125"/>
      <c r="Q14" s="125"/>
      <c r="R14" s="125"/>
      <c r="S14" s="126"/>
    </row>
    <row r="15" spans="1:19" x14ac:dyDescent="0.25">
      <c r="A15" s="1"/>
      <c r="B15" s="36" t="s">
        <v>43</v>
      </c>
      <c r="C15" s="39">
        <v>4.5</v>
      </c>
      <c r="D15" s="37" t="s">
        <v>48</v>
      </c>
      <c r="E15" s="1"/>
      <c r="F15" s="36" t="s">
        <v>53</v>
      </c>
      <c r="G15" s="122">
        <v>0</v>
      </c>
      <c r="H15" s="123"/>
      <c r="L15" s="131"/>
      <c r="M15" s="120"/>
      <c r="N15" s="120"/>
      <c r="O15" s="120"/>
      <c r="P15" s="120"/>
      <c r="Q15" s="120"/>
      <c r="R15" s="120"/>
      <c r="S15" s="121"/>
    </row>
    <row r="16" spans="1:19" x14ac:dyDescent="0.25">
      <c r="A16" s="1"/>
      <c r="B16" s="36" t="s">
        <v>0</v>
      </c>
      <c r="C16" s="43">
        <v>11</v>
      </c>
      <c r="D16" s="37" t="s">
        <v>32</v>
      </c>
      <c r="E16" s="1"/>
      <c r="F16" s="36" t="s">
        <v>54</v>
      </c>
      <c r="G16" s="122">
        <v>10</v>
      </c>
      <c r="H16" s="123"/>
      <c r="L16" s="119"/>
      <c r="M16" s="120"/>
      <c r="N16" s="120"/>
      <c r="O16" s="120"/>
      <c r="P16" s="120"/>
      <c r="Q16" s="120"/>
      <c r="R16" s="120"/>
      <c r="S16" s="121"/>
    </row>
    <row r="17" spans="1:19" x14ac:dyDescent="0.25">
      <c r="A17" s="1"/>
      <c r="B17" s="38"/>
      <c r="C17" s="38"/>
      <c r="D17" s="38"/>
      <c r="E17" s="1"/>
      <c r="F17" s="36" t="s">
        <v>55</v>
      </c>
      <c r="G17" s="122" t="s">
        <v>133</v>
      </c>
      <c r="H17" s="123"/>
      <c r="L17" s="119"/>
      <c r="M17" s="120"/>
      <c r="N17" s="120"/>
      <c r="O17" s="120"/>
      <c r="P17" s="120"/>
      <c r="Q17" s="120"/>
      <c r="R17" s="120"/>
      <c r="S17" s="121"/>
    </row>
    <row r="18" spans="1:19" x14ac:dyDescent="0.25">
      <c r="A18" s="1"/>
      <c r="B18" s="38"/>
      <c r="D18" s="38"/>
      <c r="E18" s="1"/>
      <c r="F18" s="72"/>
    </row>
    <row r="19" spans="1:19" x14ac:dyDescent="0.25">
      <c r="A19" s="1"/>
      <c r="B19" s="38"/>
      <c r="C19" s="38"/>
      <c r="D19" s="38"/>
      <c r="E19" s="1"/>
      <c r="F19" s="72"/>
    </row>
    <row r="20" spans="1:19" x14ac:dyDescent="0.25">
      <c r="A20" s="1"/>
      <c r="B20" s="38" t="s">
        <v>124</v>
      </c>
      <c r="C20" s="38"/>
      <c r="D20" s="38"/>
      <c r="E20" s="1"/>
      <c r="F20" s="72"/>
    </row>
    <row r="21" spans="1:19" x14ac:dyDescent="0.25">
      <c r="A21" s="1"/>
      <c r="B21" s="96" t="s">
        <v>125</v>
      </c>
      <c r="C21" s="96" t="s">
        <v>107</v>
      </c>
      <c r="D21" s="96" t="s">
        <v>126</v>
      </c>
      <c r="E21" s="98" t="s">
        <v>127</v>
      </c>
      <c r="F21" s="98" t="s">
        <v>131</v>
      </c>
      <c r="G21" s="100" t="s">
        <v>128</v>
      </c>
      <c r="H21" s="100" t="s">
        <v>129</v>
      </c>
      <c r="I21" s="101"/>
      <c r="J21" s="104"/>
    </row>
    <row r="22" spans="1:19" x14ac:dyDescent="0.25">
      <c r="A22" s="1"/>
      <c r="B22" s="97">
        <v>17090.5</v>
      </c>
      <c r="C22" s="97">
        <v>12371.907579999999</v>
      </c>
      <c r="D22" s="97">
        <v>311.64580000000001</v>
      </c>
      <c r="E22" s="99">
        <v>89.373620000000003</v>
      </c>
      <c r="F22" s="99">
        <v>90.756839999999997</v>
      </c>
      <c r="G22" s="102">
        <v>256.10000000000002</v>
      </c>
      <c r="H22" s="102">
        <v>5025.7184999999999</v>
      </c>
      <c r="I22" s="102"/>
      <c r="J22" s="103"/>
    </row>
    <row r="23" spans="1:19" x14ac:dyDescent="0.25">
      <c r="A23" s="1"/>
      <c r="B23" s="38"/>
      <c r="C23" s="38"/>
      <c r="D23" s="38"/>
      <c r="E23" s="1"/>
      <c r="F23" s="72"/>
    </row>
    <row r="24" spans="1:19" ht="15.75" customHeight="1" x14ac:dyDescent="0.25">
      <c r="A24" s="1"/>
      <c r="B24" s="82" t="s">
        <v>77</v>
      </c>
      <c r="C24" s="82" t="s">
        <v>108</v>
      </c>
      <c r="D24" s="82" t="s">
        <v>109</v>
      </c>
      <c r="E24" s="82" t="s">
        <v>107</v>
      </c>
      <c r="F24" s="82" t="s">
        <v>110</v>
      </c>
      <c r="G24" s="82" t="s">
        <v>111</v>
      </c>
      <c r="H24" s="82" t="s">
        <v>112</v>
      </c>
      <c r="I24" s="82" t="s">
        <v>113</v>
      </c>
      <c r="J24" s="94" t="s">
        <v>114</v>
      </c>
      <c r="K24" s="94" t="s">
        <v>115</v>
      </c>
      <c r="L24" s="82" t="s">
        <v>116</v>
      </c>
      <c r="M24" s="82" t="s">
        <v>117</v>
      </c>
      <c r="N24" s="91" t="s">
        <v>118</v>
      </c>
      <c r="O24" s="1"/>
      <c r="P24" s="1"/>
      <c r="Q24" s="1"/>
      <c r="R24" s="1"/>
      <c r="S24" s="1"/>
    </row>
    <row r="25" spans="1:19" ht="15" customHeight="1" x14ac:dyDescent="0.25">
      <c r="A25" s="27" t="s">
        <v>89</v>
      </c>
      <c r="B25" s="84">
        <v>17008</v>
      </c>
      <c r="C25" s="85">
        <v>90.17</v>
      </c>
      <c r="D25" s="85">
        <v>179.13</v>
      </c>
      <c r="E25" s="85">
        <v>12372.7</v>
      </c>
      <c r="F25" s="85">
        <v>4945.75</v>
      </c>
      <c r="G25" s="85">
        <v>-4812.07</v>
      </c>
      <c r="H25" s="85">
        <v>-1142.1199999999999</v>
      </c>
      <c r="I25" s="85">
        <v>0.17</v>
      </c>
      <c r="J25" s="85">
        <v>3</v>
      </c>
      <c r="K25" s="85" t="s">
        <v>119</v>
      </c>
      <c r="L25" s="85">
        <v>0</v>
      </c>
      <c r="M25" s="89">
        <v>0</v>
      </c>
      <c r="N25" s="88">
        <v>0</v>
      </c>
      <c r="P25" s="105"/>
    </row>
    <row r="26" spans="1:19" x14ac:dyDescent="0.25">
      <c r="A26" s="74" t="s">
        <v>37</v>
      </c>
      <c r="B26" s="86">
        <v>17065</v>
      </c>
      <c r="C26" s="87">
        <v>90.75</v>
      </c>
      <c r="D26" s="87">
        <v>179.01</v>
      </c>
      <c r="E26" s="87">
        <v>12372.24</v>
      </c>
      <c r="F26" s="87">
        <v>5001.01</v>
      </c>
      <c r="G26" s="87">
        <v>-4869.0600000000004</v>
      </c>
      <c r="H26" s="87">
        <v>-1141.2</v>
      </c>
      <c r="I26" s="87">
        <v>1.05</v>
      </c>
      <c r="J26" s="87">
        <v>3</v>
      </c>
      <c r="K26" s="87" t="s">
        <v>119</v>
      </c>
      <c r="L26" s="87">
        <v>0</v>
      </c>
      <c r="M26" s="93">
        <v>0</v>
      </c>
      <c r="N26" s="92">
        <v>0</v>
      </c>
    </row>
    <row r="27" spans="1:19" x14ac:dyDescent="0.25">
      <c r="A27" s="27" t="s">
        <v>38</v>
      </c>
      <c r="B27" s="90">
        <f>B26+C14</f>
        <v>17090</v>
      </c>
      <c r="C27" s="90">
        <f>C26</f>
        <v>90.75</v>
      </c>
      <c r="D27" s="90">
        <f>D26</f>
        <v>179.01</v>
      </c>
      <c r="E27" s="90">
        <f>COS(RADIANS(C27))*(B27-B26)+E26</f>
        <v>12371.912760110716</v>
      </c>
      <c r="F27" s="40"/>
      <c r="G27" s="40"/>
      <c r="H27" s="40"/>
      <c r="I27" s="40"/>
      <c r="J27" s="40"/>
      <c r="K27" s="40"/>
      <c r="L27" s="7"/>
      <c r="M27" s="1"/>
    </row>
    <row r="28" spans="1:19" x14ac:dyDescent="0.25">
      <c r="A28" s="27"/>
      <c r="B28" s="73"/>
      <c r="C28" s="40"/>
      <c r="D28" s="40"/>
      <c r="E28" s="40"/>
      <c r="F28" s="40"/>
      <c r="G28" s="40"/>
      <c r="H28" s="40"/>
      <c r="I28" s="40"/>
      <c r="J28" s="40"/>
      <c r="K28" s="40"/>
      <c r="L28" s="7"/>
      <c r="M28" s="1"/>
    </row>
    <row r="29" spans="1:19" x14ac:dyDescent="0.25">
      <c r="A29" s="27"/>
      <c r="B29" s="73"/>
      <c r="C29" s="40"/>
      <c r="D29" s="40"/>
      <c r="E29" s="40"/>
      <c r="F29" s="40"/>
      <c r="G29" s="40"/>
      <c r="H29" s="40"/>
      <c r="I29" s="40"/>
      <c r="J29" s="40"/>
      <c r="K29" s="40"/>
      <c r="L29" s="7"/>
      <c r="M29" s="1"/>
    </row>
    <row r="30" spans="1:19" x14ac:dyDescent="0.25">
      <c r="A30" s="13" t="s">
        <v>10</v>
      </c>
      <c r="B30" s="127" t="str">
        <f>CONCATENATE(C10,"_",C9," - MD ",B26," , INC ",C26,", AZI ",D26,", TVD ",E26)</f>
        <v>NorAm 29_Nancy 6-27H - MD 17065 , INC 90.75, AZI 179.01, TVD 12372.24</v>
      </c>
      <c r="C30" s="127"/>
      <c r="D30" s="127"/>
      <c r="E30" s="127"/>
      <c r="F30" s="127"/>
      <c r="G30" s="127"/>
      <c r="H30" s="127"/>
      <c r="I30" s="127"/>
      <c r="J30" s="127"/>
      <c r="K30" s="127"/>
      <c r="L30" s="127"/>
      <c r="M30" s="127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 x14ac:dyDescent="0.25">
      <c r="A33" s="13" t="s">
        <v>11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spans="1:13" ht="15" customHeight="1" x14ac:dyDescent="0.25">
      <c r="B35" s="128" t="str">
        <f>CONCATENATE("Please find attached the latest survey data for ",C9,".")</f>
        <v>Please find attached the latest survey data for Nancy 6-27H.</v>
      </c>
      <c r="C35" s="128"/>
      <c r="D35" s="128"/>
      <c r="E35" s="128"/>
      <c r="F35" s="128"/>
      <c r="G35" s="128"/>
      <c r="H35" s="128"/>
      <c r="I35" s="128"/>
      <c r="J35" s="128"/>
      <c r="K35" s="128"/>
      <c r="L35" s="14"/>
      <c r="M35" s="15"/>
    </row>
    <row r="36" spans="1:13" x14ac:dyDescent="0.25">
      <c r="A36" s="16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</row>
    <row r="37" spans="1:13" ht="15.75" x14ac:dyDescent="0.25">
      <c r="A37" s="16" t="s">
        <v>27</v>
      </c>
      <c r="B37" s="95" t="str">
        <f>CONCATENATE("Rev ",C11)</f>
        <v>Rev 6</v>
      </c>
      <c r="C37" s="18"/>
      <c r="D37" s="15"/>
      <c r="G37" s="15"/>
      <c r="H37" s="15"/>
      <c r="I37" s="15"/>
      <c r="J37" s="15"/>
      <c r="K37" s="15"/>
      <c r="L37" s="15"/>
      <c r="M37" s="15"/>
    </row>
    <row r="38" spans="1:13" ht="15.75" x14ac:dyDescent="0.25">
      <c r="A38" s="16"/>
      <c r="B38" s="129" t="s">
        <v>4</v>
      </c>
      <c r="C38" s="130"/>
      <c r="D38" s="15"/>
      <c r="G38" s="15"/>
      <c r="H38" s="15"/>
      <c r="I38" s="15"/>
      <c r="J38" s="49"/>
      <c r="K38" s="50"/>
      <c r="L38" s="15"/>
      <c r="M38" s="15"/>
    </row>
    <row r="39" spans="1:13" ht="15.75" x14ac:dyDescent="0.25">
      <c r="A39" s="16"/>
      <c r="B39" s="19" t="s">
        <v>7</v>
      </c>
      <c r="C39" s="30">
        <f>B26</f>
        <v>17065</v>
      </c>
      <c r="D39" s="15"/>
      <c r="I39" s="44"/>
      <c r="J39" s="45"/>
      <c r="K39" s="46"/>
      <c r="L39" s="44"/>
    </row>
    <row r="40" spans="1:13" ht="15.75" x14ac:dyDescent="0.25">
      <c r="A40" s="16"/>
      <c r="B40" s="19" t="s">
        <v>1</v>
      </c>
      <c r="C40" s="30">
        <f>C26</f>
        <v>90.75</v>
      </c>
      <c r="D40" s="15"/>
      <c r="I40" s="44"/>
      <c r="J40" s="45"/>
      <c r="K40" s="47"/>
      <c r="L40" s="44"/>
    </row>
    <row r="41" spans="1:13" ht="15.75" x14ac:dyDescent="0.25">
      <c r="A41" s="16"/>
      <c r="B41" s="19" t="s">
        <v>39</v>
      </c>
      <c r="C41" s="30">
        <f>D26</f>
        <v>179.01</v>
      </c>
      <c r="D41" s="15"/>
      <c r="I41" s="44"/>
      <c r="J41" s="45"/>
      <c r="K41" s="47"/>
      <c r="L41" s="44"/>
    </row>
    <row r="42" spans="1:13" ht="15.75" x14ac:dyDescent="0.25">
      <c r="A42" s="16"/>
      <c r="B42" s="19" t="s">
        <v>2</v>
      </c>
      <c r="C42" s="30">
        <f>E26</f>
        <v>12372.24</v>
      </c>
      <c r="D42" s="15"/>
      <c r="I42" s="44"/>
      <c r="J42" s="45"/>
      <c r="K42" s="46"/>
      <c r="L42" s="44"/>
    </row>
    <row r="43" spans="1:13" ht="15.75" x14ac:dyDescent="0.25">
      <c r="A43" s="16"/>
      <c r="B43" s="19" t="s">
        <v>5</v>
      </c>
      <c r="C43" s="30">
        <f>F26</f>
        <v>5001.01</v>
      </c>
      <c r="D43" s="15"/>
      <c r="I43" s="44"/>
      <c r="J43" s="45"/>
      <c r="K43" s="47"/>
      <c r="L43" s="44"/>
    </row>
    <row r="44" spans="1:13" ht="15.75" x14ac:dyDescent="0.25">
      <c r="A44" s="16"/>
      <c r="B44" s="19" t="s">
        <v>6</v>
      </c>
      <c r="C44" s="30">
        <f>I26</f>
        <v>1.05</v>
      </c>
      <c r="D44" s="15"/>
      <c r="I44" s="44"/>
      <c r="J44" s="45"/>
      <c r="K44" s="48"/>
      <c r="L44" s="44"/>
    </row>
    <row r="45" spans="1:13" ht="15.75" x14ac:dyDescent="0.25">
      <c r="A45" s="1"/>
      <c r="B45" s="19" t="s">
        <v>43</v>
      </c>
      <c r="C45" s="32" t="str">
        <f>CONCATENATE(C15, " ",D15)</f>
        <v>4.5 Above</v>
      </c>
      <c r="I45" s="44"/>
      <c r="J45" s="15"/>
      <c r="K45" s="44"/>
      <c r="L45" s="44"/>
    </row>
    <row r="46" spans="1:13" ht="15.75" x14ac:dyDescent="0.25">
      <c r="A46" s="1"/>
      <c r="B46" s="19" t="s">
        <v>44</v>
      </c>
      <c r="C46" s="32" t="str">
        <f>CONCATENATE(C16, " ", D16)</f>
        <v>11 Left</v>
      </c>
      <c r="I46" s="44"/>
      <c r="J46" s="15"/>
      <c r="K46" s="44"/>
      <c r="L46" s="44"/>
    </row>
    <row r="47" spans="1:13" ht="15.75" x14ac:dyDescent="0.25">
      <c r="A47" s="1"/>
      <c r="B47" s="45"/>
      <c r="C47" s="48"/>
      <c r="E47" s="45"/>
      <c r="F47" s="47"/>
      <c r="I47" s="44"/>
      <c r="J47" s="15"/>
      <c r="K47" s="44"/>
      <c r="L47" s="44"/>
    </row>
    <row r="48" spans="1:13" ht="15.75" x14ac:dyDescent="0.25">
      <c r="A48" s="1"/>
      <c r="B48" s="129" t="s">
        <v>45</v>
      </c>
      <c r="C48" s="130"/>
      <c r="E48" s="45"/>
      <c r="F48" s="47"/>
      <c r="I48" s="44"/>
      <c r="J48" s="15"/>
      <c r="K48" s="44"/>
      <c r="L48" s="44"/>
    </row>
    <row r="49" spans="1:13" ht="15.75" x14ac:dyDescent="0.25">
      <c r="A49" s="1"/>
      <c r="B49" s="19" t="s">
        <v>7</v>
      </c>
      <c r="C49" s="30">
        <f>B27</f>
        <v>17090</v>
      </c>
      <c r="E49" s="45"/>
      <c r="F49" s="47"/>
      <c r="I49" s="44"/>
      <c r="J49" s="15"/>
      <c r="K49" s="44"/>
      <c r="L49" s="44"/>
    </row>
    <row r="50" spans="1:13" ht="15.75" x14ac:dyDescent="0.25">
      <c r="A50" s="1"/>
      <c r="B50" s="19" t="s">
        <v>1</v>
      </c>
      <c r="C50" s="31">
        <f>C27</f>
        <v>90.75</v>
      </c>
      <c r="E50" s="45"/>
      <c r="F50" s="47"/>
      <c r="I50" s="44"/>
      <c r="J50" s="15"/>
      <c r="K50" s="44"/>
      <c r="L50" s="44"/>
    </row>
    <row r="51" spans="1:13" ht="15.75" x14ac:dyDescent="0.25">
      <c r="A51" s="1"/>
      <c r="B51" s="19" t="s">
        <v>39</v>
      </c>
      <c r="C51" s="31">
        <f>D27</f>
        <v>179.01</v>
      </c>
      <c r="I51" s="44"/>
      <c r="J51" s="15"/>
      <c r="K51" s="44"/>
      <c r="L51" s="44"/>
    </row>
    <row r="52" spans="1:13" ht="15.75" x14ac:dyDescent="0.25">
      <c r="A52" s="1"/>
      <c r="B52" s="19" t="s">
        <v>2</v>
      </c>
      <c r="C52" s="30">
        <f>E27</f>
        <v>12371.912760110716</v>
      </c>
      <c r="I52" s="44"/>
      <c r="J52" s="15"/>
      <c r="K52" s="44"/>
      <c r="L52" s="44"/>
    </row>
    <row r="53" spans="1:13" ht="14.25" customHeight="1" x14ac:dyDescent="0.25">
      <c r="A53" s="1"/>
      <c r="B53" s="45"/>
      <c r="C53" s="48"/>
      <c r="E53" s="1"/>
      <c r="F53" s="15"/>
      <c r="I53" s="44"/>
      <c r="J53" s="15"/>
      <c r="K53" s="44"/>
      <c r="L53" s="44"/>
    </row>
    <row r="54" spans="1:13" ht="15.75" x14ac:dyDescent="0.25">
      <c r="A54" s="13" t="s">
        <v>50</v>
      </c>
      <c r="B54" s="55"/>
      <c r="C54" s="54"/>
      <c r="E54" s="29"/>
      <c r="F54" s="15"/>
      <c r="I54" s="44"/>
      <c r="J54" s="15"/>
      <c r="K54" s="44"/>
      <c r="L54" s="44"/>
    </row>
    <row r="55" spans="1:13" ht="15.75" customHeight="1" x14ac:dyDescent="0.25">
      <c r="A55" s="53"/>
      <c r="B55" s="20" t="s">
        <v>42</v>
      </c>
      <c r="C55" s="15"/>
      <c r="D55" s="70"/>
      <c r="E55" s="15"/>
      <c r="F55" s="15"/>
      <c r="G55" s="70"/>
      <c r="H55" s="70"/>
      <c r="I55" s="15"/>
      <c r="J55" s="15"/>
      <c r="K55" s="15"/>
      <c r="L55" s="15"/>
      <c r="M55" s="15"/>
    </row>
    <row r="56" spans="1:13" ht="15" customHeight="1" x14ac:dyDescent="0.25">
      <c r="A56" s="53"/>
      <c r="B56" s="20" t="s">
        <v>31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</row>
    <row r="57" spans="1:13" ht="15" customHeight="1" x14ac:dyDescent="0.25">
      <c r="A57" s="16"/>
      <c r="B57" s="20"/>
      <c r="C57" s="15"/>
      <c r="D57" s="15"/>
      <c r="E57" s="15"/>
      <c r="F57" s="15"/>
      <c r="G57" s="15"/>
      <c r="H57" s="51"/>
      <c r="I57" s="51"/>
      <c r="J57" s="15"/>
      <c r="K57" s="15"/>
      <c r="L57" s="15"/>
      <c r="M57" s="15"/>
    </row>
    <row r="58" spans="1:13" x14ac:dyDescent="0.25">
      <c r="A58" s="21"/>
      <c r="B58" s="6"/>
      <c r="C58" s="22"/>
      <c r="D58" s="15"/>
      <c r="E58" s="15"/>
      <c r="F58" s="15"/>
      <c r="G58" s="15"/>
      <c r="H58" s="51"/>
      <c r="I58" s="51"/>
      <c r="J58" s="15"/>
      <c r="K58" s="15"/>
      <c r="L58" s="15"/>
      <c r="M58" s="15"/>
    </row>
    <row r="59" spans="1:13" x14ac:dyDescent="0.25">
      <c r="A59" s="21"/>
      <c r="B59" s="23" t="s">
        <v>13</v>
      </c>
      <c r="C59" s="24"/>
      <c r="D59" s="15"/>
      <c r="E59" s="22"/>
      <c r="F59" s="15"/>
      <c r="G59" s="15"/>
      <c r="H59" s="51"/>
      <c r="I59" s="51"/>
      <c r="J59" s="15"/>
      <c r="K59" s="15"/>
      <c r="L59" s="15"/>
      <c r="M59" s="15"/>
    </row>
    <row r="60" spans="1:13" x14ac:dyDescent="0.25">
      <c r="A60" s="21"/>
      <c r="B60" s="1"/>
      <c r="C60" s="24"/>
      <c r="D60" s="22"/>
      <c r="E60" s="22"/>
      <c r="F60" s="15"/>
      <c r="G60" s="15"/>
      <c r="H60" s="51"/>
      <c r="I60" s="51"/>
      <c r="J60" s="15"/>
      <c r="K60" s="15"/>
      <c r="L60" s="15"/>
      <c r="M60" s="15"/>
    </row>
    <row r="61" spans="1:13" x14ac:dyDescent="0.25">
      <c r="A61" s="21"/>
      <c r="B61" s="24" t="s">
        <v>12</v>
      </c>
      <c r="C61" s="23"/>
      <c r="D61" s="24"/>
      <c r="E61" s="22"/>
      <c r="F61" s="15"/>
      <c r="G61" s="15"/>
      <c r="H61" s="51"/>
      <c r="I61" s="51"/>
      <c r="J61" s="15"/>
      <c r="K61" s="15"/>
      <c r="L61" s="15"/>
      <c r="M61" s="15"/>
    </row>
    <row r="62" spans="1:13" x14ac:dyDescent="0.25">
      <c r="A62" s="21"/>
      <c r="B62" s="24"/>
      <c r="C62" s="23"/>
      <c r="D62" s="24"/>
      <c r="E62" s="22"/>
      <c r="F62" s="15"/>
      <c r="G62" s="15"/>
      <c r="H62" s="51"/>
      <c r="I62" s="51"/>
      <c r="J62" s="15"/>
      <c r="K62" s="15"/>
      <c r="L62" s="15"/>
      <c r="M62" s="15"/>
    </row>
    <row r="63" spans="1:13" x14ac:dyDescent="0.25">
      <c r="A63" s="21"/>
      <c r="B63" s="25" t="s">
        <v>9</v>
      </c>
      <c r="C63" s="22"/>
      <c r="D63" s="23"/>
      <c r="E63" s="22"/>
      <c r="F63" s="15"/>
      <c r="G63" s="15"/>
      <c r="H63" s="51"/>
      <c r="I63" s="51"/>
      <c r="J63" s="15"/>
      <c r="K63" s="15"/>
      <c r="L63" s="15"/>
      <c r="M63" s="15"/>
    </row>
    <row r="64" spans="1:13" x14ac:dyDescent="0.25">
      <c r="A64" s="21" t="s">
        <v>15</v>
      </c>
      <c r="B64" s="65" t="s">
        <v>83</v>
      </c>
      <c r="C64" s="66"/>
      <c r="D64" s="67"/>
      <c r="E64" s="22"/>
      <c r="F64" s="15"/>
      <c r="G64" s="15"/>
      <c r="H64" s="51"/>
      <c r="I64" s="51"/>
      <c r="J64" s="15"/>
      <c r="K64" s="15"/>
      <c r="L64" s="15"/>
      <c r="M64" s="15"/>
    </row>
    <row r="65" spans="1:13" x14ac:dyDescent="0.25">
      <c r="A65" s="21" t="s">
        <v>18</v>
      </c>
      <c r="B65" s="81" t="s">
        <v>84</v>
      </c>
      <c r="C65" s="68"/>
      <c r="D65" s="69"/>
      <c r="E65" s="22"/>
      <c r="F65" s="15"/>
      <c r="G65" s="15"/>
      <c r="H65" s="51"/>
      <c r="I65" s="51"/>
      <c r="J65" s="15"/>
      <c r="K65" s="15"/>
      <c r="L65" s="15"/>
      <c r="M65" s="15"/>
    </row>
    <row r="66" spans="1:13" x14ac:dyDescent="0.25">
      <c r="A66" s="21" t="s">
        <v>17</v>
      </c>
      <c r="B66" s="56">
        <v>12603857023</v>
      </c>
      <c r="C66" s="66"/>
      <c r="D66" s="67"/>
      <c r="E66" s="22"/>
      <c r="F66" s="15"/>
      <c r="G66" s="15"/>
      <c r="H66" s="51"/>
      <c r="I66" s="51"/>
      <c r="J66" s="15"/>
      <c r="K66" s="15"/>
      <c r="L66" s="15"/>
      <c r="M66" s="15"/>
    </row>
    <row r="67" spans="1:13" x14ac:dyDescent="0.25">
      <c r="A67" s="21"/>
      <c r="B67" s="12" t="s">
        <v>8</v>
      </c>
      <c r="C67" s="1"/>
      <c r="D67" s="1"/>
      <c r="E67" s="22"/>
      <c r="F67" s="15"/>
      <c r="G67" s="15"/>
      <c r="H67" s="51"/>
      <c r="I67" s="51"/>
      <c r="J67" s="15"/>
      <c r="K67" s="15"/>
      <c r="L67" s="15"/>
      <c r="M67" s="15"/>
    </row>
    <row r="68" spans="1:13" x14ac:dyDescent="0.25">
      <c r="A68" s="21" t="s">
        <v>22</v>
      </c>
      <c r="B68" s="65" t="s">
        <v>96</v>
      </c>
      <c r="C68" s="66"/>
      <c r="D68" s="67"/>
      <c r="E68" s="22"/>
      <c r="F68" s="15"/>
      <c r="G68" s="15"/>
      <c r="H68" s="51"/>
      <c r="I68" s="51"/>
      <c r="J68" s="15"/>
      <c r="K68" s="15"/>
      <c r="L68" s="15"/>
      <c r="M68" s="15"/>
    </row>
    <row r="69" spans="1:13" x14ac:dyDescent="0.25">
      <c r="A69" s="21" t="s">
        <v>16</v>
      </c>
      <c r="B69" s="81" t="s">
        <v>130</v>
      </c>
      <c r="C69" s="68"/>
      <c r="D69" s="69"/>
      <c r="E69" s="22"/>
      <c r="F69" s="15"/>
      <c r="G69" s="15"/>
      <c r="H69" s="51"/>
      <c r="I69" s="51"/>
      <c r="J69" s="15"/>
      <c r="K69" s="15"/>
      <c r="L69" s="15"/>
      <c r="M69" s="15"/>
    </row>
    <row r="70" spans="1:13" x14ac:dyDescent="0.25">
      <c r="A70" s="21" t="s">
        <v>23</v>
      </c>
      <c r="B70" s="57">
        <v>18327780267</v>
      </c>
      <c r="C70" s="66"/>
      <c r="D70" s="67"/>
      <c r="E70" s="41"/>
      <c r="F70" s="15"/>
      <c r="G70" s="15"/>
      <c r="H70" s="51"/>
      <c r="I70" s="51"/>
      <c r="M70" s="15"/>
    </row>
    <row r="71" spans="1:13" x14ac:dyDescent="0.25">
      <c r="A71" s="21"/>
      <c r="B71" s="5"/>
      <c r="C71" s="1"/>
      <c r="D71" s="1"/>
      <c r="E71" s="22"/>
      <c r="F71" s="15"/>
      <c r="G71" s="15"/>
      <c r="H71" s="51"/>
      <c r="I71" s="51"/>
      <c r="M71" s="15"/>
    </row>
    <row r="72" spans="1:13" x14ac:dyDescent="0.25">
      <c r="A72" s="16"/>
      <c r="B72" s="5" t="s">
        <v>14</v>
      </c>
      <c r="C72" s="1"/>
      <c r="D72" s="1"/>
      <c r="E72" s="22"/>
      <c r="F72" s="15"/>
      <c r="G72" s="15"/>
      <c r="H72" s="51"/>
      <c r="I72" s="51"/>
      <c r="M72" s="15"/>
    </row>
    <row r="73" spans="1:13" x14ac:dyDescent="0.25">
      <c r="A73" s="21" t="s">
        <v>19</v>
      </c>
      <c r="B73" s="65" t="s">
        <v>90</v>
      </c>
      <c r="C73" s="66"/>
      <c r="D73" s="67"/>
      <c r="E73" s="15"/>
      <c r="F73" s="15"/>
      <c r="G73" s="15"/>
      <c r="H73" s="51"/>
      <c r="I73" s="51"/>
      <c r="J73" s="15"/>
      <c r="K73" s="15"/>
      <c r="L73" s="15"/>
      <c r="M73" s="15"/>
    </row>
    <row r="74" spans="1:13" x14ac:dyDescent="0.25">
      <c r="A74" s="21" t="s">
        <v>20</v>
      </c>
      <c r="B74" s="65" t="s">
        <v>91</v>
      </c>
      <c r="C74" s="68"/>
      <c r="D74" s="69"/>
      <c r="E74" s="15"/>
      <c r="F74" s="15"/>
      <c r="G74" s="15"/>
      <c r="H74" s="51"/>
      <c r="I74" s="51"/>
      <c r="J74" s="52"/>
      <c r="K74" s="52"/>
      <c r="L74" s="52"/>
      <c r="M74" s="15"/>
    </row>
    <row r="75" spans="1:13" x14ac:dyDescent="0.25">
      <c r="A75" s="21" t="s">
        <v>21</v>
      </c>
      <c r="B75" s="65" t="s">
        <v>92</v>
      </c>
      <c r="C75" s="66"/>
      <c r="D75" s="67"/>
      <c r="E75" s="15"/>
      <c r="F75" s="15"/>
      <c r="G75" s="15"/>
      <c r="H75" s="51"/>
      <c r="I75" s="51"/>
      <c r="J75" s="52"/>
      <c r="K75" s="52"/>
      <c r="L75" s="52"/>
      <c r="M75" s="15"/>
    </row>
    <row r="76" spans="1:13" x14ac:dyDescent="0.25">
      <c r="A76" s="16"/>
      <c r="B76" s="1" t="s">
        <v>8</v>
      </c>
      <c r="C76" s="1"/>
      <c r="D76" s="1"/>
      <c r="E76" s="15"/>
      <c r="F76" s="15"/>
      <c r="G76" s="15"/>
      <c r="H76" s="51"/>
      <c r="I76" s="51"/>
      <c r="J76" s="52"/>
      <c r="K76" s="52"/>
      <c r="L76" s="52"/>
      <c r="M76" s="15"/>
    </row>
    <row r="77" spans="1:13" x14ac:dyDescent="0.25">
      <c r="A77" s="21" t="s">
        <v>24</v>
      </c>
      <c r="B77" s="65" t="s">
        <v>93</v>
      </c>
      <c r="C77" s="57"/>
      <c r="D77" s="58"/>
      <c r="E77" s="15"/>
      <c r="F77" s="15"/>
      <c r="G77" s="15"/>
      <c r="H77" s="51"/>
      <c r="I77" s="51"/>
      <c r="J77" s="52"/>
      <c r="K77" s="52"/>
      <c r="L77" s="52"/>
      <c r="M77" s="15"/>
    </row>
    <row r="78" spans="1:13" x14ac:dyDescent="0.25">
      <c r="A78" s="21" t="s">
        <v>26</v>
      </c>
      <c r="B78" s="65" t="s">
        <v>94</v>
      </c>
      <c r="C78" s="60"/>
      <c r="D78" s="61"/>
      <c r="E78" s="15"/>
      <c r="F78" s="15"/>
      <c r="G78" s="15"/>
      <c r="H78" s="51"/>
      <c r="I78" s="51"/>
      <c r="J78" s="52"/>
      <c r="K78" s="52"/>
      <c r="L78" s="52"/>
      <c r="M78" s="15"/>
    </row>
    <row r="79" spans="1:13" x14ac:dyDescent="0.25">
      <c r="A79" s="21" t="s">
        <v>25</v>
      </c>
      <c r="B79" s="65" t="s">
        <v>95</v>
      </c>
      <c r="C79" s="63"/>
      <c r="D79" s="64"/>
      <c r="E79" s="15"/>
      <c r="F79" s="15"/>
      <c r="G79" s="15"/>
      <c r="H79" s="51"/>
      <c r="I79" s="51"/>
      <c r="J79" s="52"/>
      <c r="K79" s="52"/>
      <c r="L79" s="52"/>
      <c r="M79" s="15"/>
    </row>
    <row r="80" spans="1:13" x14ac:dyDescent="0.25">
      <c r="A80" s="13" t="s">
        <v>57</v>
      </c>
      <c r="B80" s="26"/>
      <c r="C80" s="15"/>
      <c r="D80" s="15"/>
      <c r="E80" s="15"/>
      <c r="F80" s="15"/>
      <c r="G80" s="15"/>
      <c r="H80" s="51"/>
      <c r="I80" s="51"/>
      <c r="J80" s="52"/>
      <c r="K80" s="52"/>
      <c r="L80" s="52"/>
      <c r="M80" s="15"/>
    </row>
    <row r="81" spans="1:13" x14ac:dyDescent="0.25">
      <c r="A81" s="1"/>
      <c r="B81" s="1"/>
      <c r="C81" s="1"/>
      <c r="D81" s="1"/>
      <c r="E81" s="15"/>
      <c r="F81" s="15"/>
      <c r="G81" s="15"/>
      <c r="H81" s="15"/>
      <c r="I81" s="15"/>
      <c r="J81" s="52"/>
      <c r="K81" s="52"/>
      <c r="L81" s="52"/>
      <c r="M81" s="15"/>
    </row>
    <row r="82" spans="1:13" x14ac:dyDescent="0.25">
      <c r="A82" s="1"/>
      <c r="B82" s="1"/>
      <c r="C82" s="1"/>
      <c r="D82" s="1"/>
      <c r="E82" s="1"/>
      <c r="F82" s="1"/>
      <c r="G82" s="15"/>
      <c r="H82" s="15"/>
      <c r="I82" s="15"/>
      <c r="J82" s="52"/>
      <c r="K82" s="52"/>
      <c r="L82" s="52"/>
      <c r="M82" s="15"/>
    </row>
    <row r="83" spans="1:13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</row>
    <row r="84" spans="1:13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</row>
    <row r="85" spans="1:13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</row>
    <row r="86" spans="1:13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</row>
    <row r="87" spans="1:13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</row>
    <row r="88" spans="1:13" x14ac:dyDescent="0.25">
      <c r="E88" s="1"/>
      <c r="F88" s="1"/>
      <c r="G88" s="1"/>
      <c r="H88" s="1"/>
      <c r="I88" s="1"/>
      <c r="J88" s="1"/>
      <c r="K88" s="1"/>
      <c r="L88" s="1"/>
      <c r="M88" s="1"/>
    </row>
    <row r="89" spans="1:13" x14ac:dyDescent="0.25">
      <c r="G89" s="1"/>
      <c r="H89" s="1"/>
      <c r="I89" s="1"/>
      <c r="J89" s="1"/>
      <c r="K89" s="1"/>
      <c r="L89" s="1"/>
      <c r="M89" s="1"/>
    </row>
  </sheetData>
  <mergeCells count="22">
    <mergeCell ref="B30:M30"/>
    <mergeCell ref="B35:K35"/>
    <mergeCell ref="B38:C38"/>
    <mergeCell ref="B48:C48"/>
    <mergeCell ref="G15:H15"/>
    <mergeCell ref="L15:S15"/>
    <mergeCell ref="G16:H16"/>
    <mergeCell ref="L16:S16"/>
    <mergeCell ref="G17:H17"/>
    <mergeCell ref="L17:S17"/>
    <mergeCell ref="L12:S12"/>
    <mergeCell ref="B13:C13"/>
    <mergeCell ref="F13:H13"/>
    <mergeCell ref="L13:S13"/>
    <mergeCell ref="G14:H14"/>
    <mergeCell ref="L14:S14"/>
    <mergeCell ref="L11:S11"/>
    <mergeCell ref="F3:H3"/>
    <mergeCell ref="L6:R6"/>
    <mergeCell ref="B8:C8"/>
    <mergeCell ref="L9:S9"/>
    <mergeCell ref="L10:S10"/>
  </mergeCells>
  <dataValidations count="2">
    <dataValidation type="list" allowBlank="1" showInputMessage="1" showErrorMessage="1" sqref="D15">
      <formula1>$F$8:$F$9</formula1>
    </dataValidation>
    <dataValidation type="list" allowBlank="1" showInputMessage="1" showErrorMessage="1" sqref="D16">
      <formula1>$H$8:$H$9</formula1>
    </dataValidation>
  </dataValidations>
  <hyperlinks>
    <hyperlink ref="B65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5" name="Button 1">
              <controlPr locked="0" defaultSize="0" print="0" autoFill="0" autoPict="0" macro="[0]!Main.Main">
                <anchor moveWithCells="1" sizeWithCells="1">
                  <from>
                    <xdr:col>5</xdr:col>
                    <xdr:colOff>76200</xdr:colOff>
                    <xdr:row>26</xdr:row>
                    <xdr:rowOff>95250</xdr:rowOff>
                  </from>
                  <to>
                    <xdr:col>6</xdr:col>
                    <xdr:colOff>695325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6" name="Button 2">
              <controlPr defaultSize="0" print="0" autoFill="0" autoPict="0" macro="[0]!Add_Files">
                <anchor moveWithCells="1" sizeWithCells="1">
                  <from>
                    <xdr:col>9</xdr:col>
                    <xdr:colOff>38100</xdr:colOff>
                    <xdr:row>8</xdr:row>
                    <xdr:rowOff>9525</xdr:rowOff>
                  </from>
                  <to>
                    <xdr:col>10</xdr:col>
                    <xdr:colOff>542925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7" name="Button 3">
              <controlPr defaultSize="0" print="0" autoFill="0" autoPict="0" macro="[0]!Add_ASC">
                <anchor moveWithCells="1" sizeWithCells="1">
                  <from>
                    <xdr:col>9</xdr:col>
                    <xdr:colOff>57150</xdr:colOff>
                    <xdr:row>4</xdr:row>
                    <xdr:rowOff>171450</xdr:rowOff>
                  </from>
                  <to>
                    <xdr:col>10</xdr:col>
                    <xdr:colOff>561975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8" name="Button 4">
              <controlPr locked="0" defaultSize="0" print="0" autoFill="0" autoPict="0" macro="[0]!SOS_Email">
                <anchor moveWithCells="1" sizeWithCells="1">
                  <from>
                    <xdr:col>6</xdr:col>
                    <xdr:colOff>781050</xdr:colOff>
                    <xdr:row>26</xdr:row>
                    <xdr:rowOff>104775</xdr:rowOff>
                  </from>
                  <to>
                    <xdr:col>7</xdr:col>
                    <xdr:colOff>514350</xdr:colOff>
                    <xdr:row>28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6"/>
  <sheetViews>
    <sheetView workbookViewId="0">
      <selection activeCell="A10" sqref="A10"/>
    </sheetView>
  </sheetViews>
  <sheetFormatPr defaultRowHeight="15" x14ac:dyDescent="0.25"/>
  <cols>
    <col min="1" max="1" width="64.85546875" customWidth="1"/>
    <col min="2" max="2" width="61" customWidth="1"/>
  </cols>
  <sheetData>
    <row r="1" spans="1:7" ht="18.75" x14ac:dyDescent="0.3">
      <c r="A1" s="4" t="s">
        <v>28</v>
      </c>
      <c r="B1" s="3" t="s">
        <v>29</v>
      </c>
    </row>
    <row r="2" spans="1:7" x14ac:dyDescent="0.25">
      <c r="A2" s="79" t="s">
        <v>97</v>
      </c>
      <c r="B2" s="79" t="s">
        <v>78</v>
      </c>
    </row>
    <row r="3" spans="1:7" x14ac:dyDescent="0.25">
      <c r="A3" s="79" t="s">
        <v>98</v>
      </c>
      <c r="B3" s="80" t="s">
        <v>79</v>
      </c>
      <c r="E3" s="28"/>
    </row>
    <row r="4" spans="1:7" x14ac:dyDescent="0.25">
      <c r="A4" s="79" t="s">
        <v>99</v>
      </c>
      <c r="B4" s="79" t="s">
        <v>80</v>
      </c>
    </row>
    <row r="5" spans="1:7" x14ac:dyDescent="0.25">
      <c r="A5" s="79" t="s">
        <v>100</v>
      </c>
      <c r="B5" s="79" t="s">
        <v>130</v>
      </c>
    </row>
    <row r="6" spans="1:7" x14ac:dyDescent="0.25">
      <c r="A6" s="79" t="s">
        <v>101</v>
      </c>
      <c r="B6" s="79"/>
      <c r="G6" s="28"/>
    </row>
    <row r="7" spans="1:7" x14ac:dyDescent="0.25">
      <c r="A7" s="79" t="s">
        <v>102</v>
      </c>
      <c r="B7" s="80"/>
    </row>
    <row r="8" spans="1:7" x14ac:dyDescent="0.25">
      <c r="A8" s="79" t="s">
        <v>103</v>
      </c>
      <c r="B8" s="79"/>
      <c r="G8" s="28"/>
    </row>
    <row r="9" spans="1:7" x14ac:dyDescent="0.25">
      <c r="A9" s="79" t="s">
        <v>104</v>
      </c>
      <c r="B9" s="79"/>
    </row>
    <row r="10" spans="1:7" x14ac:dyDescent="0.25">
      <c r="A10" s="79" t="s">
        <v>132</v>
      </c>
      <c r="B10" s="79"/>
    </row>
    <row r="11" spans="1:7" x14ac:dyDescent="0.25">
      <c r="A11" s="79"/>
      <c r="B11" s="79"/>
    </row>
    <row r="12" spans="1:7" x14ac:dyDescent="0.25">
      <c r="A12" s="79"/>
      <c r="B12" s="79"/>
    </row>
    <row r="13" spans="1:7" x14ac:dyDescent="0.25">
      <c r="A13" s="79"/>
      <c r="B13" s="79"/>
    </row>
    <row r="14" spans="1:7" x14ac:dyDescent="0.25">
      <c r="A14" s="79"/>
      <c r="B14" s="79"/>
    </row>
    <row r="15" spans="1:7" x14ac:dyDescent="0.25">
      <c r="A15" s="79"/>
      <c r="B15" s="79"/>
    </row>
    <row r="16" spans="1:7" x14ac:dyDescent="0.25">
      <c r="A16" s="79"/>
      <c r="B16" s="79"/>
    </row>
    <row r="17" spans="1:15" x14ac:dyDescent="0.25">
      <c r="A17" s="79"/>
      <c r="B17" s="79"/>
    </row>
    <row r="18" spans="1:15" x14ac:dyDescent="0.25">
      <c r="A18" s="79"/>
      <c r="B18" s="79"/>
    </row>
    <row r="19" spans="1:15" x14ac:dyDescent="0.25">
      <c r="A19" s="79"/>
      <c r="B19" s="79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</row>
    <row r="20" spans="1:15" x14ac:dyDescent="0.25">
      <c r="A20" s="79"/>
      <c r="B20" s="79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  <c r="N20" s="75"/>
      <c r="O20" s="75"/>
    </row>
    <row r="21" spans="1:15" x14ac:dyDescent="0.25">
      <c r="A21" s="79"/>
      <c r="B21" s="79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</row>
    <row r="22" spans="1:15" x14ac:dyDescent="0.25">
      <c r="A22" s="79"/>
      <c r="B22" s="79"/>
      <c r="C22" s="76"/>
      <c r="D22" s="76"/>
      <c r="E22" s="76"/>
      <c r="F22" s="76"/>
      <c r="G22" s="76"/>
      <c r="H22" s="76"/>
      <c r="I22" s="76"/>
      <c r="J22" s="77"/>
    </row>
    <row r="23" spans="1:15" x14ac:dyDescent="0.25">
      <c r="A23" s="79"/>
      <c r="B23" s="79"/>
    </row>
    <row r="24" spans="1:15" x14ac:dyDescent="0.25">
      <c r="A24" s="79"/>
      <c r="B24" s="79"/>
      <c r="C24" s="78"/>
      <c r="D24" s="78"/>
      <c r="E24" s="78"/>
      <c r="F24" s="78"/>
      <c r="G24" s="78"/>
      <c r="H24" s="78"/>
      <c r="I24" s="78"/>
      <c r="J24" s="78"/>
      <c r="K24" s="78"/>
      <c r="L24" s="78"/>
    </row>
    <row r="25" spans="1:15" x14ac:dyDescent="0.25">
      <c r="A25" s="79"/>
      <c r="B25" s="79"/>
    </row>
    <row r="26" spans="1:15" x14ac:dyDescent="0.25">
      <c r="A26" s="79"/>
      <c r="B26" s="79"/>
    </row>
    <row r="27" spans="1:15" x14ac:dyDescent="0.25">
      <c r="A27" s="79"/>
      <c r="B27" s="79"/>
    </row>
    <row r="28" spans="1:15" x14ac:dyDescent="0.25">
      <c r="A28" s="79"/>
      <c r="B28" s="79"/>
    </row>
    <row r="29" spans="1:15" x14ac:dyDescent="0.25">
      <c r="A29" s="79"/>
      <c r="B29" s="79"/>
    </row>
    <row r="30" spans="1:15" x14ac:dyDescent="0.25">
      <c r="A30" s="79"/>
      <c r="B30" s="79"/>
    </row>
    <row r="31" spans="1:15" x14ac:dyDescent="0.25">
      <c r="A31" s="79"/>
      <c r="B31" s="79"/>
    </row>
    <row r="32" spans="1:15" x14ac:dyDescent="0.25">
      <c r="A32" s="79"/>
      <c r="B32" s="79"/>
    </row>
    <row r="33" spans="1:2" x14ac:dyDescent="0.25">
      <c r="A33" s="79"/>
      <c r="B33" s="79"/>
    </row>
    <row r="34" spans="1:2" x14ac:dyDescent="0.25">
      <c r="A34" s="79"/>
      <c r="B34" s="79"/>
    </row>
    <row r="35" spans="1:2" x14ac:dyDescent="0.25">
      <c r="A35" s="79"/>
      <c r="B35" s="79"/>
    </row>
    <row r="36" spans="1:2" x14ac:dyDescent="0.25">
      <c r="A36" s="79"/>
      <c r="B36" s="79"/>
    </row>
    <row r="37" spans="1:2" x14ac:dyDescent="0.25">
      <c r="A37" s="79"/>
      <c r="B37" s="79"/>
    </row>
    <row r="38" spans="1:2" x14ac:dyDescent="0.25">
      <c r="A38" s="79"/>
      <c r="B38" s="79"/>
    </row>
    <row r="39" spans="1:2" x14ac:dyDescent="0.25">
      <c r="A39" s="79"/>
      <c r="B39" s="79"/>
    </row>
    <row r="40" spans="1:2" x14ac:dyDescent="0.25">
      <c r="A40" s="79"/>
      <c r="B40" s="79"/>
    </row>
    <row r="41" spans="1:2" x14ac:dyDescent="0.25">
      <c r="A41" s="79"/>
      <c r="B41" s="79"/>
    </row>
    <row r="42" spans="1:2" x14ac:dyDescent="0.25">
      <c r="A42" s="79"/>
      <c r="B42" s="79"/>
    </row>
    <row r="43" spans="1:2" x14ac:dyDescent="0.25">
      <c r="A43" s="79"/>
      <c r="B43" s="79"/>
    </row>
    <row r="44" spans="1:2" x14ac:dyDescent="0.25">
      <c r="A44" s="79"/>
      <c r="B44" s="79"/>
    </row>
    <row r="45" spans="1:2" x14ac:dyDescent="0.25">
      <c r="A45" s="79"/>
      <c r="B45" s="79"/>
    </row>
    <row r="46" spans="1:2" x14ac:dyDescent="0.25">
      <c r="A46" s="79"/>
      <c r="B46" s="79"/>
    </row>
    <row r="47" spans="1:2" x14ac:dyDescent="0.25">
      <c r="A47" s="79"/>
      <c r="B47" s="79"/>
    </row>
    <row r="48" spans="1:2" x14ac:dyDescent="0.25">
      <c r="A48" s="79"/>
      <c r="B48" s="79"/>
    </row>
    <row r="49" spans="1:2" x14ac:dyDescent="0.25">
      <c r="A49" s="79"/>
      <c r="B49" s="79"/>
    </row>
    <row r="50" spans="1:2" x14ac:dyDescent="0.25">
      <c r="A50" s="79"/>
      <c r="B50" s="79"/>
    </row>
    <row r="51" spans="1:2" x14ac:dyDescent="0.25">
      <c r="A51" s="79"/>
      <c r="B51" s="79"/>
    </row>
    <row r="52" spans="1:2" x14ac:dyDescent="0.25">
      <c r="A52" s="79"/>
      <c r="B52" s="79"/>
    </row>
    <row r="53" spans="1:2" x14ac:dyDescent="0.25">
      <c r="A53" s="79"/>
      <c r="B53" s="79"/>
    </row>
    <row r="54" spans="1:2" x14ac:dyDescent="0.25">
      <c r="A54" s="79"/>
      <c r="B54" s="79"/>
    </row>
    <row r="55" spans="1:2" x14ac:dyDescent="0.25">
      <c r="A55" s="28"/>
    </row>
    <row r="56" spans="1:2" x14ac:dyDescent="0.25">
      <c r="A56" s="28"/>
    </row>
  </sheetData>
  <hyperlinks>
    <hyperlink ref="B16" r:id="rId1" display="Central.OpsGeos@ApacheCorp.com"/>
    <hyperlink ref="B2" r:id="rId2"/>
    <hyperlink ref="B4" r:id="rId3" display="mailto:computingcenter@slb.com"/>
    <hyperlink ref="A2" r:id="rId4" display="mailto:Tulsadirectional@cimarex.com"/>
    <hyperlink ref="A3" r:id="rId5" display="mailto:Rclark@cimarex.com"/>
    <hyperlink ref="A4" r:id="rId6" display="mailto:Rgoddard@cimarex.com"/>
    <hyperlink ref="A5" r:id="rId7" display="mailto:Ngeier@cimarex.com"/>
    <hyperlink ref="A6" r:id="rId8" display="mailto:Ladams@cimarex.com"/>
    <hyperlink ref="A7" r:id="rId9" display="mailto:Rswearingen@cimarex.com"/>
    <hyperlink ref="A8" r:id="rId10" display="mailto:Jleader@cimarex.com"/>
    <hyperlink ref="A9" r:id="rId11" display="mailto:Rreynolds@cimarex.com"/>
    <hyperlink ref="A10" r:id="rId12"/>
  </hyperlinks>
  <pageMargins left="0.7" right="0.7" top="0.75" bottom="0.75" header="0.3" footer="0.3"/>
  <pageSetup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S88"/>
  <sheetViews>
    <sheetView zoomScale="80" zoomScaleNormal="80" workbookViewId="0">
      <selection activeCell="H22" sqref="H22"/>
    </sheetView>
  </sheetViews>
  <sheetFormatPr defaultRowHeight="15" x14ac:dyDescent="0.25"/>
  <cols>
    <col min="1" max="1" width="15.5703125" customWidth="1"/>
    <col min="2" max="2" width="14.85546875" customWidth="1"/>
    <col min="3" max="3" width="21.28515625" customWidth="1"/>
    <col min="4" max="4" width="15.28515625" customWidth="1"/>
    <col min="5" max="5" width="13.140625" customWidth="1"/>
    <col min="6" max="6" width="17" customWidth="1"/>
    <col min="7" max="7" width="14" customWidth="1"/>
    <col min="8" max="8" width="15.28515625" customWidth="1"/>
    <col min="9" max="9" width="17.85546875" customWidth="1"/>
    <col min="10" max="10" width="14.7109375" customWidth="1"/>
    <col min="13" max="13" width="10.42578125" bestFit="1" customWidth="1"/>
  </cols>
  <sheetData>
    <row r="1" spans="1:19" x14ac:dyDescent="0.25">
      <c r="A1" s="2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9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9" x14ac:dyDescent="0.25">
      <c r="A3" s="1" t="s">
        <v>3</v>
      </c>
      <c r="B3" s="1"/>
      <c r="C3" s="1"/>
      <c r="D3" s="1"/>
      <c r="E3" s="1"/>
      <c r="F3" s="109" t="s">
        <v>36</v>
      </c>
      <c r="G3" s="110"/>
      <c r="H3" s="110"/>
      <c r="I3" s="1"/>
      <c r="J3" s="1"/>
      <c r="K3" s="1"/>
      <c r="L3" s="1"/>
      <c r="M3" s="1"/>
    </row>
    <row r="4" spans="1:19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9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9" ht="18.75" x14ac:dyDescent="0.3">
      <c r="A6" s="8" t="s">
        <v>35</v>
      </c>
      <c r="B6" s="8"/>
      <c r="C6" s="1"/>
      <c r="D6" s="1"/>
      <c r="E6" s="1"/>
      <c r="F6" s="1"/>
      <c r="G6" s="1"/>
      <c r="H6" s="1"/>
      <c r="I6" s="1"/>
      <c r="J6" s="1"/>
      <c r="K6" s="1"/>
      <c r="L6" s="111"/>
      <c r="M6" s="111"/>
      <c r="N6" s="111"/>
      <c r="O6" s="111"/>
      <c r="P6" s="111"/>
      <c r="Q6" s="111"/>
      <c r="R6" s="111"/>
    </row>
    <row r="7" spans="1:19" x14ac:dyDescent="0.25">
      <c r="A7" s="1"/>
      <c r="B7" s="1"/>
      <c r="C7" s="1"/>
      <c r="D7" s="1"/>
      <c r="E7" s="1" t="s">
        <v>40</v>
      </c>
      <c r="F7" s="1"/>
      <c r="G7" s="1"/>
      <c r="H7" s="1"/>
      <c r="I7" s="1"/>
      <c r="J7" s="1"/>
      <c r="K7" s="1"/>
      <c r="L7" s="7"/>
      <c r="M7" s="7"/>
      <c r="N7" s="7"/>
    </row>
    <row r="8" spans="1:19" x14ac:dyDescent="0.25">
      <c r="A8" s="1"/>
      <c r="B8" s="112" t="s">
        <v>33</v>
      </c>
      <c r="C8" s="112"/>
      <c r="D8" s="1"/>
      <c r="E8" s="1">
        <v>1</v>
      </c>
      <c r="F8" s="1" t="s">
        <v>48</v>
      </c>
      <c r="G8" s="1">
        <v>1</v>
      </c>
      <c r="H8" s="1" t="s">
        <v>32</v>
      </c>
      <c r="I8" s="1"/>
      <c r="J8" s="1"/>
      <c r="K8" s="1"/>
      <c r="L8" s="1"/>
      <c r="M8" s="1"/>
    </row>
    <row r="9" spans="1:19" x14ac:dyDescent="0.25">
      <c r="A9" s="1"/>
      <c r="B9" s="9" t="s">
        <v>34</v>
      </c>
      <c r="C9" s="33" t="s">
        <v>71</v>
      </c>
      <c r="D9" s="1"/>
      <c r="E9" s="1">
        <v>2</v>
      </c>
      <c r="F9" s="1" t="s">
        <v>47</v>
      </c>
      <c r="G9" s="1">
        <v>2</v>
      </c>
      <c r="H9" s="1" t="s">
        <v>41</v>
      </c>
      <c r="K9" s="1"/>
      <c r="L9" s="132"/>
      <c r="M9" s="133"/>
      <c r="N9" s="133"/>
      <c r="O9" s="133"/>
      <c r="P9" s="133"/>
      <c r="Q9" s="133"/>
      <c r="R9" s="133"/>
      <c r="S9" s="134"/>
    </row>
    <row r="10" spans="1:19" x14ac:dyDescent="0.25">
      <c r="A10" s="1"/>
      <c r="B10" s="9" t="s">
        <v>30</v>
      </c>
      <c r="C10" s="33" t="s">
        <v>72</v>
      </c>
      <c r="D10" s="1"/>
      <c r="E10" s="1"/>
      <c r="F10" s="1"/>
      <c r="K10" s="1"/>
      <c r="L10" s="119"/>
      <c r="M10" s="120"/>
      <c r="N10" s="120"/>
      <c r="O10" s="120"/>
      <c r="P10" s="120"/>
      <c r="Q10" s="120"/>
      <c r="R10" s="120"/>
      <c r="S10" s="121"/>
    </row>
    <row r="11" spans="1:19" x14ac:dyDescent="0.25">
      <c r="A11" s="1"/>
      <c r="B11" s="9" t="s">
        <v>46</v>
      </c>
      <c r="C11" s="42" t="s">
        <v>73</v>
      </c>
      <c r="D11" s="1"/>
      <c r="E11" s="1"/>
      <c r="F11" s="1"/>
      <c r="K11" s="1"/>
      <c r="L11" s="119"/>
      <c r="M11" s="120"/>
      <c r="N11" s="120"/>
      <c r="O11" s="120"/>
      <c r="P11" s="120"/>
      <c r="Q11" s="120"/>
      <c r="R11" s="120"/>
      <c r="S11" s="121"/>
    </row>
    <row r="12" spans="1:19" x14ac:dyDescent="0.25">
      <c r="A12" s="1"/>
      <c r="B12" s="10"/>
      <c r="C12" s="11"/>
      <c r="D12" s="1"/>
      <c r="E12" s="1"/>
      <c r="F12" s="1"/>
      <c r="G12" s="1"/>
      <c r="L12" s="119"/>
      <c r="M12" s="120"/>
      <c r="N12" s="120"/>
      <c r="O12" s="120"/>
      <c r="P12" s="120"/>
      <c r="Q12" s="120"/>
      <c r="R12" s="120"/>
      <c r="S12" s="121"/>
    </row>
    <row r="13" spans="1:19" x14ac:dyDescent="0.25">
      <c r="A13" s="1"/>
      <c r="B13" s="116" t="s">
        <v>4</v>
      </c>
      <c r="C13" s="117"/>
      <c r="D13" s="35"/>
      <c r="E13" s="1"/>
      <c r="F13" s="116" t="s">
        <v>51</v>
      </c>
      <c r="G13" s="118"/>
      <c r="H13" s="117"/>
      <c r="L13" s="119"/>
      <c r="M13" s="120"/>
      <c r="N13" s="120"/>
      <c r="O13" s="120"/>
      <c r="P13" s="120"/>
      <c r="Q13" s="120"/>
      <c r="R13" s="120"/>
      <c r="S13" s="121"/>
    </row>
    <row r="14" spans="1:19" x14ac:dyDescent="0.25">
      <c r="A14" s="1"/>
      <c r="B14" s="36" t="s">
        <v>49</v>
      </c>
      <c r="C14" s="39" t="s">
        <v>56</v>
      </c>
      <c r="D14" s="35"/>
      <c r="E14" s="1"/>
      <c r="F14" s="36" t="s">
        <v>52</v>
      </c>
      <c r="G14" s="122" t="s">
        <v>56</v>
      </c>
      <c r="H14" s="123"/>
      <c r="L14" s="124"/>
      <c r="M14" s="125"/>
      <c r="N14" s="125"/>
      <c r="O14" s="125"/>
      <c r="P14" s="125"/>
      <c r="Q14" s="125"/>
      <c r="R14" s="125"/>
      <c r="S14" s="126"/>
    </row>
    <row r="15" spans="1:19" x14ac:dyDescent="0.25">
      <c r="A15" s="1"/>
      <c r="B15" s="36" t="s">
        <v>43</v>
      </c>
      <c r="C15" s="39" t="s">
        <v>56</v>
      </c>
      <c r="D15" s="37" t="s">
        <v>47</v>
      </c>
      <c r="E15" s="1"/>
      <c r="F15" s="36" t="s">
        <v>53</v>
      </c>
      <c r="G15" s="122" t="s">
        <v>56</v>
      </c>
      <c r="H15" s="123"/>
      <c r="L15" s="131"/>
      <c r="M15" s="120"/>
      <c r="N15" s="120"/>
      <c r="O15" s="120"/>
      <c r="P15" s="120"/>
      <c r="Q15" s="120"/>
      <c r="R15" s="120"/>
      <c r="S15" s="121"/>
    </row>
    <row r="16" spans="1:19" x14ac:dyDescent="0.25">
      <c r="A16" s="1"/>
      <c r="B16" s="36" t="s">
        <v>0</v>
      </c>
      <c r="C16" s="43" t="s">
        <v>56</v>
      </c>
      <c r="D16" s="37" t="s">
        <v>32</v>
      </c>
      <c r="E16" s="1"/>
      <c r="F16" s="36" t="s">
        <v>54</v>
      </c>
      <c r="G16" s="122" t="s">
        <v>56</v>
      </c>
      <c r="H16" s="123"/>
      <c r="L16" s="119"/>
      <c r="M16" s="120"/>
      <c r="N16" s="120"/>
      <c r="O16" s="120"/>
      <c r="P16" s="120"/>
      <c r="Q16" s="120"/>
      <c r="R16" s="120"/>
      <c r="S16" s="121"/>
    </row>
    <row r="17" spans="1:19" x14ac:dyDescent="0.25">
      <c r="A17" s="1"/>
      <c r="B17" s="38"/>
      <c r="C17" s="38"/>
      <c r="D17" s="38"/>
      <c r="E17" s="1"/>
      <c r="F17" s="36" t="s">
        <v>55</v>
      </c>
      <c r="G17" s="122" t="s">
        <v>56</v>
      </c>
      <c r="H17" s="123"/>
      <c r="L17" s="119"/>
      <c r="M17" s="120"/>
      <c r="N17" s="120"/>
      <c r="O17" s="120"/>
      <c r="P17" s="120"/>
      <c r="Q17" s="120"/>
      <c r="R17" s="120"/>
      <c r="S17" s="121"/>
    </row>
    <row r="18" spans="1:19" x14ac:dyDescent="0.25">
      <c r="A18" s="1"/>
      <c r="B18" s="38"/>
      <c r="D18" s="38"/>
      <c r="E18" s="1"/>
      <c r="F18" s="72"/>
    </row>
    <row r="19" spans="1:19" x14ac:dyDescent="0.25">
      <c r="A19" s="1"/>
      <c r="B19" s="38"/>
      <c r="C19" s="38"/>
      <c r="D19" s="38"/>
      <c r="E19" s="1"/>
      <c r="F19" s="72"/>
    </row>
    <row r="20" spans="1:19" x14ac:dyDescent="0.25">
      <c r="A20" s="1"/>
      <c r="B20" s="38"/>
      <c r="C20" s="38"/>
      <c r="D20" s="38"/>
      <c r="E20" s="1"/>
      <c r="F20" s="72"/>
    </row>
    <row r="21" spans="1:19" ht="15.75" customHeight="1" x14ac:dyDescent="0.25">
      <c r="A21" s="1"/>
      <c r="B21" s="82" t="s">
        <v>77</v>
      </c>
      <c r="C21" s="82" t="s">
        <v>81</v>
      </c>
      <c r="D21" s="83" t="s">
        <v>82</v>
      </c>
      <c r="E21" s="1"/>
      <c r="F21" s="1"/>
      <c r="G21" s="1"/>
      <c r="H21" s="1"/>
      <c r="I21" s="1"/>
      <c r="L21" s="1"/>
      <c r="M21" s="1"/>
      <c r="N21" s="1"/>
      <c r="O21" s="1"/>
      <c r="P21" s="1"/>
      <c r="Q21" s="1"/>
      <c r="R21" s="1"/>
      <c r="S21" s="1"/>
    </row>
    <row r="22" spans="1:19" ht="15" customHeight="1" x14ac:dyDescent="0.25">
      <c r="A22" s="27" t="s">
        <v>89</v>
      </c>
      <c r="B22" s="84" t="s">
        <v>65</v>
      </c>
      <c r="C22" s="85" t="s">
        <v>65</v>
      </c>
      <c r="D22" s="85" t="s">
        <v>65</v>
      </c>
      <c r="E22" s="15"/>
      <c r="F22" s="15"/>
      <c r="G22" s="15"/>
      <c r="H22" s="15"/>
      <c r="I22" s="15"/>
      <c r="J22" s="15"/>
      <c r="K22" s="15"/>
      <c r="L22" s="15"/>
      <c r="M22" s="1"/>
    </row>
    <row r="23" spans="1:19" x14ac:dyDescent="0.25">
      <c r="A23" s="74" t="s">
        <v>37</v>
      </c>
      <c r="B23" s="86" t="s">
        <v>65</v>
      </c>
      <c r="C23" s="87" t="s">
        <v>65</v>
      </c>
      <c r="D23" s="87" t="s">
        <v>65</v>
      </c>
      <c r="E23" s="15"/>
      <c r="F23" s="15"/>
      <c r="G23" s="15"/>
      <c r="H23" s="15"/>
      <c r="I23" s="15"/>
      <c r="J23" s="15"/>
      <c r="K23" s="15"/>
      <c r="L23" s="15"/>
      <c r="M23" s="1"/>
    </row>
    <row r="24" spans="1:19" x14ac:dyDescent="0.25">
      <c r="A24" s="27" t="s">
        <v>38</v>
      </c>
      <c r="B24" s="71" t="e">
        <f>B23+C14</f>
        <v>#VALUE!</v>
      </c>
      <c r="C24" s="34" t="str">
        <f>C23</f>
        <v>?</v>
      </c>
      <c r="D24" s="34" t="str">
        <f>D23</f>
        <v>?</v>
      </c>
      <c r="E24" s="40"/>
      <c r="F24" s="40"/>
      <c r="G24" s="40"/>
      <c r="H24" s="40"/>
      <c r="I24" s="40"/>
      <c r="J24" s="40"/>
      <c r="K24" s="40"/>
      <c r="L24" s="7"/>
      <c r="M24" s="1"/>
    </row>
    <row r="25" spans="1:19" x14ac:dyDescent="0.25">
      <c r="A25" s="27"/>
      <c r="B25" s="73"/>
      <c r="C25" s="40"/>
      <c r="D25" s="40"/>
      <c r="E25" s="40"/>
      <c r="F25" s="40"/>
      <c r="G25" s="40"/>
      <c r="H25" s="40"/>
      <c r="I25" s="40"/>
      <c r="J25" s="40"/>
      <c r="K25" s="40"/>
      <c r="L25" s="7"/>
      <c r="M25" s="1"/>
    </row>
    <row r="26" spans="1:19" x14ac:dyDescent="0.25">
      <c r="A26" s="27"/>
      <c r="B26" s="73"/>
      <c r="C26" s="40"/>
      <c r="D26" s="40"/>
      <c r="E26" s="40"/>
      <c r="F26" s="40"/>
      <c r="G26" s="40"/>
      <c r="H26" s="40"/>
      <c r="I26" s="40"/>
      <c r="J26" s="40"/>
      <c r="K26" s="40"/>
      <c r="L26" s="7"/>
      <c r="M26" s="1"/>
    </row>
    <row r="27" spans="1:19" x14ac:dyDescent="0.25">
      <c r="A27" s="13" t="s">
        <v>10</v>
      </c>
      <c r="B27" s="127" t="str">
        <f>CONCATENATE(C10,"_",C9," - MD ",B23," , INC ",C23,", AZI ",D23,", TVD ",E23)</f>
        <v xml:space="preserve">Rig_Name_Well_Name - MD ? , INC ?, AZI ?, TVD </v>
      </c>
      <c r="C27" s="127"/>
      <c r="D27" s="127"/>
      <c r="E27" s="127"/>
      <c r="F27" s="127"/>
      <c r="G27" s="127"/>
      <c r="H27" s="127"/>
      <c r="I27" s="127"/>
      <c r="J27" s="127"/>
      <c r="K27" s="127"/>
      <c r="L27" s="127"/>
      <c r="M27" s="127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9" ht="15" customHeight="1" x14ac:dyDescent="0.25">
      <c r="A29" s="13" t="s">
        <v>11</v>
      </c>
      <c r="B29" s="128" t="str">
        <f>CONCATENATE("Please find attached the latest survey data for ",C9,".")</f>
        <v>Please find attached the latest survey data for Well_Name.</v>
      </c>
      <c r="C29" s="128"/>
      <c r="D29" s="128"/>
      <c r="E29" s="128"/>
      <c r="F29" s="128"/>
      <c r="G29" s="128"/>
      <c r="H29" s="128"/>
      <c r="I29" s="128"/>
      <c r="J29" s="128"/>
      <c r="K29" s="128"/>
      <c r="L29" s="14"/>
      <c r="M29" s="15"/>
    </row>
    <row r="30" spans="1:19" x14ac:dyDescent="0.25">
      <c r="A30" s="16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</row>
    <row r="31" spans="1:19" ht="15.75" x14ac:dyDescent="0.25">
      <c r="A31" s="16" t="s">
        <v>27</v>
      </c>
      <c r="B31" s="17" t="str">
        <f>CONCATENATE("Rev ",C11)</f>
        <v>Rev Plan_Rev</v>
      </c>
      <c r="C31" s="18"/>
      <c r="D31" s="15"/>
      <c r="G31" s="15"/>
      <c r="H31" s="15"/>
      <c r="I31" s="15"/>
      <c r="J31" s="15"/>
      <c r="K31" s="15"/>
      <c r="L31" s="15"/>
      <c r="M31" s="15"/>
    </row>
    <row r="32" spans="1:19" ht="15.75" x14ac:dyDescent="0.25">
      <c r="A32" s="16"/>
      <c r="B32" s="129" t="s">
        <v>4</v>
      </c>
      <c r="C32" s="130"/>
      <c r="D32" s="15"/>
      <c r="G32" s="15"/>
      <c r="H32" s="15"/>
      <c r="I32" s="15"/>
      <c r="J32" s="49"/>
      <c r="K32" s="50"/>
      <c r="L32" s="15"/>
      <c r="M32" s="15"/>
    </row>
    <row r="33" spans="1:12" ht="15.75" x14ac:dyDescent="0.25">
      <c r="A33" s="16"/>
      <c r="B33" s="19" t="s">
        <v>7</v>
      </c>
      <c r="C33" s="30" t="s">
        <v>75</v>
      </c>
      <c r="D33" s="15"/>
      <c r="I33" s="44"/>
      <c r="J33" s="45"/>
      <c r="K33" s="46"/>
      <c r="L33" s="44"/>
    </row>
    <row r="34" spans="1:12" ht="15.75" x14ac:dyDescent="0.25">
      <c r="A34" s="16"/>
      <c r="B34" s="19" t="s">
        <v>1</v>
      </c>
      <c r="C34" s="30" t="s">
        <v>75</v>
      </c>
      <c r="D34" s="15"/>
      <c r="I34" s="44"/>
      <c r="J34" s="45"/>
      <c r="K34" s="47"/>
      <c r="L34" s="44"/>
    </row>
    <row r="35" spans="1:12" ht="15.75" x14ac:dyDescent="0.25">
      <c r="A35" s="16"/>
      <c r="B35" s="19" t="s">
        <v>39</v>
      </c>
      <c r="C35" s="30" t="s">
        <v>75</v>
      </c>
      <c r="D35" s="15"/>
      <c r="I35" s="44"/>
      <c r="J35" s="45"/>
      <c r="K35" s="47"/>
      <c r="L35" s="44"/>
    </row>
    <row r="36" spans="1:12" ht="15.75" x14ac:dyDescent="0.25">
      <c r="A36" s="16"/>
      <c r="B36" s="19" t="s">
        <v>2</v>
      </c>
      <c r="C36" s="30" t="s">
        <v>75</v>
      </c>
      <c r="D36" s="15"/>
      <c r="I36" s="44"/>
      <c r="J36" s="45"/>
      <c r="K36" s="46"/>
      <c r="L36" s="44"/>
    </row>
    <row r="37" spans="1:12" ht="15.75" x14ac:dyDescent="0.25">
      <c r="A37" s="16"/>
      <c r="B37" s="19" t="s">
        <v>5</v>
      </c>
      <c r="C37" s="30" t="s">
        <v>75</v>
      </c>
      <c r="D37" s="15"/>
      <c r="I37" s="44"/>
      <c r="J37" s="45"/>
      <c r="K37" s="47"/>
      <c r="L37" s="44"/>
    </row>
    <row r="38" spans="1:12" ht="15.75" x14ac:dyDescent="0.25">
      <c r="A38" s="16"/>
      <c r="B38" s="19" t="s">
        <v>6</v>
      </c>
      <c r="C38" s="30" t="s">
        <v>75</v>
      </c>
      <c r="D38" s="15"/>
      <c r="I38" s="44"/>
      <c r="J38" s="45"/>
      <c r="K38" s="48"/>
      <c r="L38" s="44"/>
    </row>
    <row r="39" spans="1:12" ht="15.75" x14ac:dyDescent="0.25">
      <c r="A39" s="1"/>
      <c r="B39" s="19" t="s">
        <v>43</v>
      </c>
      <c r="C39" s="32" t="str">
        <f>CONCATENATE(C15, " ",D15)</f>
        <v>n/a Below</v>
      </c>
      <c r="I39" s="44"/>
      <c r="J39" s="15"/>
      <c r="K39" s="44"/>
      <c r="L39" s="44"/>
    </row>
    <row r="40" spans="1:12" ht="15.75" x14ac:dyDescent="0.25">
      <c r="A40" s="1"/>
      <c r="B40" s="19" t="s">
        <v>44</v>
      </c>
      <c r="C40" s="32" t="str">
        <f>CONCATENATE(C16, " ", D16)</f>
        <v>n/a Left</v>
      </c>
      <c r="I40" s="44"/>
      <c r="J40" s="15"/>
      <c r="K40" s="44"/>
      <c r="L40" s="44"/>
    </row>
    <row r="41" spans="1:12" ht="15.75" x14ac:dyDescent="0.25">
      <c r="A41" s="1"/>
      <c r="B41" s="45"/>
      <c r="C41" s="48"/>
      <c r="E41" s="45"/>
      <c r="F41" s="47"/>
      <c r="I41" s="44"/>
      <c r="J41" s="15"/>
      <c r="K41" s="44"/>
      <c r="L41" s="44"/>
    </row>
    <row r="42" spans="1:12" ht="15.75" x14ac:dyDescent="0.25">
      <c r="A42" s="1"/>
      <c r="B42" s="129" t="s">
        <v>51</v>
      </c>
      <c r="C42" s="130"/>
      <c r="E42" s="45"/>
      <c r="F42" s="47"/>
      <c r="I42" s="44"/>
      <c r="J42" s="15"/>
      <c r="K42" s="44"/>
      <c r="L42" s="44"/>
    </row>
    <row r="43" spans="1:12" ht="15.75" x14ac:dyDescent="0.25">
      <c r="A43" s="1"/>
      <c r="B43" s="19" t="s">
        <v>52</v>
      </c>
      <c r="C43" s="30" t="str">
        <f>G14</f>
        <v>n/a</v>
      </c>
      <c r="E43" s="45"/>
      <c r="F43" s="47"/>
      <c r="I43" s="44"/>
      <c r="J43" s="15"/>
      <c r="K43" s="44"/>
      <c r="L43" s="44"/>
    </row>
    <row r="44" spans="1:12" ht="15.75" x14ac:dyDescent="0.25">
      <c r="A44" s="1"/>
      <c r="B44" s="19" t="s">
        <v>67</v>
      </c>
      <c r="C44" s="31" t="str">
        <f>G15</f>
        <v>n/a</v>
      </c>
      <c r="E44" s="45"/>
      <c r="F44" s="47"/>
      <c r="I44" s="44"/>
      <c r="J44" s="15"/>
      <c r="K44" s="44"/>
      <c r="L44" s="44"/>
    </row>
    <row r="45" spans="1:12" ht="15.75" x14ac:dyDescent="0.25">
      <c r="A45" s="1"/>
      <c r="B45" s="19" t="s">
        <v>54</v>
      </c>
      <c r="C45" s="31" t="str">
        <f>G16</f>
        <v>n/a</v>
      </c>
      <c r="E45" s="45"/>
      <c r="F45" s="47"/>
      <c r="I45" s="44"/>
      <c r="J45" s="15"/>
      <c r="K45" s="44"/>
      <c r="L45" s="44"/>
    </row>
    <row r="46" spans="1:12" ht="15.75" x14ac:dyDescent="0.25">
      <c r="A46" s="1"/>
      <c r="B46" s="19" t="s">
        <v>55</v>
      </c>
      <c r="C46" s="31" t="str">
        <f>G17</f>
        <v>n/a</v>
      </c>
      <c r="E46" s="45"/>
      <c r="F46" s="47"/>
      <c r="I46" s="44"/>
      <c r="J46" s="15"/>
      <c r="K46" s="44"/>
      <c r="L46" s="44"/>
    </row>
    <row r="47" spans="1:12" ht="15.75" x14ac:dyDescent="0.25">
      <c r="A47" s="1"/>
      <c r="E47" s="45"/>
      <c r="F47" s="47"/>
      <c r="I47" s="44"/>
      <c r="J47" s="15"/>
      <c r="K47" s="44"/>
      <c r="L47" s="44"/>
    </row>
    <row r="48" spans="1:12" ht="15.75" x14ac:dyDescent="0.25">
      <c r="A48" s="1"/>
      <c r="B48" s="129" t="s">
        <v>45</v>
      </c>
      <c r="C48" s="130"/>
      <c r="E48" s="45"/>
      <c r="F48" s="47"/>
      <c r="I48" s="44"/>
      <c r="J48" s="15"/>
      <c r="K48" s="44"/>
      <c r="L48" s="44"/>
    </row>
    <row r="49" spans="1:13" ht="15.75" x14ac:dyDescent="0.25">
      <c r="A49" s="1"/>
      <c r="B49" s="19" t="s">
        <v>7</v>
      </c>
      <c r="C49" s="30" t="e">
        <f>B24</f>
        <v>#VALUE!</v>
      </c>
      <c r="E49" s="45"/>
      <c r="F49" s="47"/>
      <c r="I49" s="44"/>
      <c r="J49" s="15"/>
      <c r="K49" s="44"/>
      <c r="L49" s="44"/>
    </row>
    <row r="50" spans="1:13" ht="15.75" x14ac:dyDescent="0.25">
      <c r="A50" s="1"/>
      <c r="B50" s="19" t="s">
        <v>1</v>
      </c>
      <c r="C50" s="31" t="str">
        <f>C24</f>
        <v>?</v>
      </c>
      <c r="E50" s="45"/>
      <c r="F50" s="47"/>
      <c r="I50" s="44"/>
      <c r="J50" s="15"/>
      <c r="K50" s="44"/>
      <c r="L50" s="44"/>
    </row>
    <row r="51" spans="1:13" ht="15.75" x14ac:dyDescent="0.25">
      <c r="A51" s="1"/>
      <c r="B51" s="19" t="s">
        <v>39</v>
      </c>
      <c r="C51" s="31" t="str">
        <f>D24</f>
        <v>?</v>
      </c>
      <c r="I51" s="44"/>
      <c r="J51" s="15"/>
      <c r="K51" s="44"/>
      <c r="L51" s="44"/>
    </row>
    <row r="52" spans="1:13" ht="14.25" customHeight="1" x14ac:dyDescent="0.25">
      <c r="A52" s="1"/>
      <c r="B52" s="45"/>
      <c r="C52" s="48"/>
      <c r="E52" s="1"/>
      <c r="F52" s="15"/>
      <c r="I52" s="44"/>
      <c r="J52" s="15"/>
      <c r="K52" s="44"/>
      <c r="L52" s="44"/>
    </row>
    <row r="53" spans="1:13" ht="15.75" x14ac:dyDescent="0.25">
      <c r="A53" s="13" t="s">
        <v>50</v>
      </c>
      <c r="B53" s="55"/>
      <c r="C53" s="54"/>
      <c r="E53" s="29"/>
      <c r="F53" s="15"/>
      <c r="I53" s="44"/>
      <c r="J53" s="15"/>
      <c r="K53" s="44"/>
      <c r="L53" s="44"/>
    </row>
    <row r="54" spans="1:13" ht="15.75" customHeight="1" x14ac:dyDescent="0.25">
      <c r="A54" s="53"/>
      <c r="B54" s="20" t="s">
        <v>42</v>
      </c>
      <c r="C54" s="15"/>
      <c r="D54" s="70"/>
      <c r="E54" s="15"/>
      <c r="F54" s="15"/>
      <c r="G54" s="70"/>
      <c r="H54" s="70"/>
      <c r="I54" s="15"/>
      <c r="J54" s="15"/>
      <c r="K54" s="15"/>
      <c r="L54" s="15"/>
      <c r="M54" s="15"/>
    </row>
    <row r="55" spans="1:13" ht="15" customHeight="1" x14ac:dyDescent="0.25">
      <c r="A55" s="53"/>
      <c r="B55" s="20" t="s">
        <v>31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</row>
    <row r="56" spans="1:13" ht="15" customHeight="1" x14ac:dyDescent="0.25">
      <c r="A56" s="16"/>
      <c r="B56" s="20"/>
      <c r="C56" s="15"/>
      <c r="D56" s="15"/>
      <c r="E56" s="15"/>
      <c r="F56" s="15"/>
      <c r="G56" s="15"/>
      <c r="H56" s="51"/>
      <c r="I56" s="51"/>
      <c r="J56" s="15"/>
      <c r="K56" s="15"/>
      <c r="L56" s="15"/>
      <c r="M56" s="15"/>
    </row>
    <row r="57" spans="1:13" x14ac:dyDescent="0.25">
      <c r="A57" s="21"/>
      <c r="B57" s="6"/>
      <c r="C57" s="22"/>
      <c r="D57" s="15"/>
      <c r="E57" s="15"/>
      <c r="F57" s="15"/>
      <c r="G57" s="15"/>
      <c r="H57" s="51"/>
      <c r="I57" s="51"/>
      <c r="J57" s="15"/>
      <c r="K57" s="15"/>
      <c r="L57" s="15"/>
      <c r="M57" s="15"/>
    </row>
    <row r="58" spans="1:13" x14ac:dyDescent="0.25">
      <c r="A58" s="21"/>
      <c r="B58" s="23" t="s">
        <v>13</v>
      </c>
      <c r="C58" s="24"/>
      <c r="D58" s="15"/>
      <c r="E58" s="22"/>
      <c r="F58" s="15"/>
      <c r="G58" s="15"/>
      <c r="H58" s="51"/>
      <c r="I58" s="51"/>
      <c r="J58" s="15"/>
      <c r="K58" s="15"/>
      <c r="L58" s="15"/>
      <c r="M58" s="15"/>
    </row>
    <row r="59" spans="1:13" x14ac:dyDescent="0.25">
      <c r="A59" s="21"/>
      <c r="B59" s="1"/>
      <c r="C59" s="24"/>
      <c r="D59" s="22"/>
      <c r="E59" s="22"/>
      <c r="F59" s="15"/>
      <c r="G59" s="15"/>
      <c r="H59" s="51"/>
      <c r="I59" s="51"/>
      <c r="J59" s="15"/>
      <c r="K59" s="15"/>
      <c r="L59" s="15"/>
      <c r="M59" s="15"/>
    </row>
    <row r="60" spans="1:13" x14ac:dyDescent="0.25">
      <c r="A60" s="21"/>
      <c r="B60" s="24" t="s">
        <v>12</v>
      </c>
      <c r="C60" s="23"/>
      <c r="D60" s="24"/>
      <c r="E60" s="22"/>
      <c r="F60" s="15"/>
      <c r="G60" s="15"/>
      <c r="H60" s="51"/>
      <c r="I60" s="51"/>
      <c r="J60" s="15"/>
      <c r="K60" s="15"/>
      <c r="L60" s="15"/>
      <c r="M60" s="15"/>
    </row>
    <row r="61" spans="1:13" x14ac:dyDescent="0.25">
      <c r="A61" s="21"/>
      <c r="B61" s="24"/>
      <c r="C61" s="23"/>
      <c r="D61" s="24"/>
      <c r="E61" s="22"/>
      <c r="F61" s="15"/>
      <c r="G61" s="15"/>
      <c r="H61" s="51"/>
      <c r="I61" s="51"/>
      <c r="J61" s="15"/>
      <c r="K61" s="15"/>
      <c r="L61" s="15"/>
      <c r="M61" s="15"/>
    </row>
    <row r="62" spans="1:13" x14ac:dyDescent="0.25">
      <c r="A62" s="21"/>
      <c r="B62" s="25" t="s">
        <v>9</v>
      </c>
      <c r="C62" s="22"/>
      <c r="D62" s="23"/>
      <c r="E62" s="22"/>
      <c r="F62" s="15"/>
      <c r="G62" s="15"/>
      <c r="H62" s="51"/>
      <c r="I62" s="51"/>
      <c r="J62" s="15"/>
      <c r="K62" s="15"/>
      <c r="L62" s="15"/>
      <c r="M62" s="15"/>
    </row>
    <row r="63" spans="1:13" x14ac:dyDescent="0.25">
      <c r="A63" s="21" t="s">
        <v>15</v>
      </c>
      <c r="B63" s="65"/>
      <c r="C63" s="66"/>
      <c r="D63" s="67"/>
      <c r="E63" s="22"/>
      <c r="F63" s="15"/>
      <c r="G63" s="15"/>
      <c r="H63" s="51"/>
      <c r="I63" s="51"/>
      <c r="J63" s="15"/>
      <c r="K63" s="15"/>
      <c r="L63" s="15"/>
      <c r="M63" s="15"/>
    </row>
    <row r="64" spans="1:13" x14ac:dyDescent="0.25">
      <c r="A64" s="21" t="s">
        <v>18</v>
      </c>
      <c r="B64" s="81"/>
      <c r="C64" s="68"/>
      <c r="D64" s="69"/>
      <c r="E64" s="22"/>
      <c r="F64" s="15"/>
      <c r="G64" s="15"/>
      <c r="H64" s="51"/>
      <c r="I64" s="51"/>
      <c r="J64" s="15"/>
      <c r="K64" s="15"/>
      <c r="L64" s="15"/>
      <c r="M64" s="15"/>
    </row>
    <row r="65" spans="1:13" x14ac:dyDescent="0.25">
      <c r="A65" s="21" t="s">
        <v>17</v>
      </c>
      <c r="B65" s="65"/>
      <c r="C65" s="66"/>
      <c r="D65" s="67"/>
      <c r="E65" s="22"/>
      <c r="F65" s="15"/>
      <c r="G65" s="15"/>
      <c r="H65" s="51"/>
      <c r="I65" s="51"/>
      <c r="J65" s="15"/>
      <c r="K65" s="15"/>
      <c r="L65" s="15"/>
      <c r="M65" s="15"/>
    </row>
    <row r="66" spans="1:13" x14ac:dyDescent="0.25">
      <c r="A66" s="21"/>
      <c r="B66" s="12" t="s">
        <v>8</v>
      </c>
      <c r="C66" s="1"/>
      <c r="D66" s="1"/>
      <c r="E66" s="22"/>
      <c r="F66" s="15"/>
      <c r="G66" s="15"/>
      <c r="H66" s="51"/>
      <c r="I66" s="51"/>
      <c r="J66" s="15"/>
      <c r="K66" s="15"/>
      <c r="L66" s="15"/>
      <c r="M66" s="15"/>
    </row>
    <row r="67" spans="1:13" x14ac:dyDescent="0.25">
      <c r="A67" s="21" t="s">
        <v>22</v>
      </c>
      <c r="B67" s="65"/>
      <c r="C67" s="66"/>
      <c r="D67" s="67"/>
      <c r="E67" s="22"/>
      <c r="F67" s="15"/>
      <c r="G67" s="15"/>
      <c r="H67" s="51"/>
      <c r="I67" s="51"/>
      <c r="J67" s="15"/>
      <c r="K67" s="15"/>
      <c r="L67" s="15"/>
      <c r="M67" s="15"/>
    </row>
    <row r="68" spans="1:13" x14ac:dyDescent="0.25">
      <c r="A68" s="21" t="s">
        <v>16</v>
      </c>
      <c r="B68" s="81"/>
      <c r="C68" s="68"/>
      <c r="D68" s="69"/>
      <c r="E68" s="22"/>
      <c r="F68" s="15"/>
      <c r="G68" s="15"/>
      <c r="H68" s="51"/>
      <c r="I68" s="51"/>
      <c r="J68" s="15"/>
      <c r="K68" s="15"/>
      <c r="L68" s="15"/>
      <c r="M68" s="15"/>
    </row>
    <row r="69" spans="1:13" x14ac:dyDescent="0.25">
      <c r="A69" s="21" t="s">
        <v>23</v>
      </c>
      <c r="B69" s="65"/>
      <c r="C69" s="66"/>
      <c r="D69" s="67"/>
      <c r="E69" s="41"/>
      <c r="F69" s="15"/>
      <c r="G69" s="15"/>
      <c r="H69" s="51"/>
      <c r="I69" s="51"/>
      <c r="M69" s="15"/>
    </row>
    <row r="70" spans="1:13" x14ac:dyDescent="0.25">
      <c r="A70" s="21"/>
      <c r="B70" s="5"/>
      <c r="C70" s="1"/>
      <c r="D70" s="1"/>
      <c r="E70" s="22"/>
      <c r="F70" s="15"/>
      <c r="G70" s="15"/>
      <c r="H70" s="51"/>
      <c r="I70" s="51"/>
      <c r="M70" s="15"/>
    </row>
    <row r="71" spans="1:13" x14ac:dyDescent="0.25">
      <c r="A71" s="16"/>
      <c r="B71" s="5" t="s">
        <v>14</v>
      </c>
      <c r="C71" s="1"/>
      <c r="D71" s="1"/>
      <c r="E71" s="22"/>
      <c r="F71" s="15"/>
      <c r="G71" s="15"/>
      <c r="H71" s="51"/>
      <c r="I71" s="51"/>
      <c r="M71" s="15"/>
    </row>
    <row r="72" spans="1:13" x14ac:dyDescent="0.25">
      <c r="A72" s="21" t="s">
        <v>19</v>
      </c>
      <c r="B72" s="65"/>
      <c r="C72" s="66"/>
      <c r="D72" s="67"/>
      <c r="E72" s="15"/>
      <c r="F72" s="15"/>
      <c r="G72" s="15"/>
      <c r="H72" s="51"/>
      <c r="I72" s="51"/>
      <c r="J72" s="15"/>
      <c r="K72" s="15"/>
      <c r="L72" s="15"/>
      <c r="M72" s="15"/>
    </row>
    <row r="73" spans="1:13" x14ac:dyDescent="0.25">
      <c r="A73" s="21" t="s">
        <v>20</v>
      </c>
      <c r="B73" s="81"/>
      <c r="C73" s="68"/>
      <c r="D73" s="69"/>
      <c r="E73" s="15"/>
      <c r="F73" s="15"/>
      <c r="G73" s="15"/>
      <c r="H73" s="51"/>
      <c r="I73" s="51"/>
      <c r="J73" s="52"/>
      <c r="K73" s="52"/>
      <c r="L73" s="52"/>
      <c r="M73" s="15"/>
    </row>
    <row r="74" spans="1:13" x14ac:dyDescent="0.25">
      <c r="A74" s="21" t="s">
        <v>21</v>
      </c>
      <c r="B74" s="65"/>
      <c r="C74" s="66"/>
      <c r="D74" s="67"/>
      <c r="E74" s="15"/>
      <c r="F74" s="15"/>
      <c r="G74" s="15"/>
      <c r="H74" s="51"/>
      <c r="I74" s="51"/>
      <c r="J74" s="52"/>
      <c r="K74" s="52"/>
      <c r="L74" s="52"/>
      <c r="M74" s="15"/>
    </row>
    <row r="75" spans="1:13" x14ac:dyDescent="0.25">
      <c r="A75" s="16"/>
      <c r="B75" s="1" t="s">
        <v>8</v>
      </c>
      <c r="C75" s="1"/>
      <c r="D75" s="1"/>
      <c r="E75" s="15"/>
      <c r="F75" s="15"/>
      <c r="G75" s="15"/>
      <c r="H75" s="51"/>
      <c r="I75" s="51"/>
      <c r="J75" s="52"/>
      <c r="K75" s="52"/>
      <c r="L75" s="52"/>
      <c r="M75" s="15"/>
    </row>
    <row r="76" spans="1:13" x14ac:dyDescent="0.25">
      <c r="A76" s="21" t="s">
        <v>24</v>
      </c>
      <c r="B76" s="56"/>
      <c r="C76" s="57"/>
      <c r="D76" s="58"/>
      <c r="E76" s="15"/>
      <c r="F76" s="15"/>
      <c r="G76" s="15"/>
      <c r="H76" s="51"/>
      <c r="I76" s="51"/>
      <c r="J76" s="52"/>
      <c r="K76" s="52"/>
      <c r="L76" s="52"/>
      <c r="M76" s="15"/>
    </row>
    <row r="77" spans="1:13" x14ac:dyDescent="0.25">
      <c r="A77" s="21" t="s">
        <v>26</v>
      </c>
      <c r="B77" s="59"/>
      <c r="C77" s="60"/>
      <c r="D77" s="61"/>
      <c r="E77" s="15"/>
      <c r="F77" s="15"/>
      <c r="G77" s="15"/>
      <c r="H77" s="51"/>
      <c r="I77" s="51"/>
      <c r="J77" s="52"/>
      <c r="K77" s="52"/>
      <c r="L77" s="52"/>
      <c r="M77" s="15"/>
    </row>
    <row r="78" spans="1:13" x14ac:dyDescent="0.25">
      <c r="A78" s="21" t="s">
        <v>25</v>
      </c>
      <c r="B78" s="62"/>
      <c r="C78" s="63"/>
      <c r="D78" s="64"/>
      <c r="E78" s="15"/>
      <c r="F78" s="15"/>
      <c r="G78" s="15"/>
      <c r="H78" s="51"/>
      <c r="I78" s="51"/>
      <c r="J78" s="52"/>
      <c r="K78" s="52"/>
      <c r="L78" s="52"/>
      <c r="M78" s="15"/>
    </row>
    <row r="79" spans="1:13" x14ac:dyDescent="0.25">
      <c r="A79" s="13" t="s">
        <v>57</v>
      </c>
      <c r="B79" s="26"/>
      <c r="C79" s="15"/>
      <c r="D79" s="15"/>
      <c r="E79" s="15"/>
      <c r="F79" s="15"/>
      <c r="G79" s="15"/>
      <c r="H79" s="51"/>
      <c r="I79" s="51"/>
      <c r="J79" s="52"/>
      <c r="K79" s="52"/>
      <c r="L79" s="52"/>
      <c r="M79" s="15"/>
    </row>
    <row r="80" spans="1:13" x14ac:dyDescent="0.25">
      <c r="A80" s="1"/>
      <c r="B80" s="1"/>
      <c r="C80" s="1"/>
      <c r="D80" s="1"/>
      <c r="E80" s="15"/>
      <c r="F80" s="15"/>
      <c r="G80" s="15"/>
      <c r="H80" s="15"/>
      <c r="I80" s="15"/>
      <c r="J80" s="52"/>
      <c r="K80" s="52"/>
      <c r="L80" s="52"/>
      <c r="M80" s="15"/>
    </row>
    <row r="81" spans="1:13" x14ac:dyDescent="0.25">
      <c r="A81" s="1"/>
      <c r="B81" s="1"/>
      <c r="C81" s="1"/>
      <c r="D81" s="1"/>
      <c r="E81" s="1"/>
      <c r="F81" s="1"/>
      <c r="G81" s="15"/>
      <c r="H81" s="15"/>
      <c r="I81" s="15"/>
      <c r="J81" s="52"/>
      <c r="K81" s="52"/>
      <c r="L81" s="52"/>
      <c r="M81" s="15"/>
    </row>
    <row r="82" spans="1:13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</row>
    <row r="83" spans="1:13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</row>
    <row r="84" spans="1:13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</row>
    <row r="85" spans="1:13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</row>
    <row r="86" spans="1:13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</row>
    <row r="87" spans="1:13" x14ac:dyDescent="0.25">
      <c r="E87" s="1"/>
      <c r="F87" s="1"/>
      <c r="G87" s="1"/>
      <c r="H87" s="1"/>
      <c r="I87" s="1"/>
      <c r="J87" s="1"/>
      <c r="K87" s="1"/>
      <c r="L87" s="1"/>
      <c r="M87" s="1"/>
    </row>
    <row r="88" spans="1:13" x14ac:dyDescent="0.25">
      <c r="G88" s="1"/>
      <c r="H88" s="1"/>
      <c r="I88" s="1"/>
      <c r="J88" s="1"/>
      <c r="K88" s="1"/>
      <c r="L88" s="1"/>
      <c r="M88" s="1"/>
    </row>
  </sheetData>
  <mergeCells count="23">
    <mergeCell ref="L11:S11"/>
    <mergeCell ref="F3:H3"/>
    <mergeCell ref="L6:R6"/>
    <mergeCell ref="B8:C8"/>
    <mergeCell ref="L9:S9"/>
    <mergeCell ref="L10:S10"/>
    <mergeCell ref="L12:S12"/>
    <mergeCell ref="B13:C13"/>
    <mergeCell ref="F13:H13"/>
    <mergeCell ref="L13:S13"/>
    <mergeCell ref="G14:H14"/>
    <mergeCell ref="L14:S14"/>
    <mergeCell ref="G15:H15"/>
    <mergeCell ref="L15:S15"/>
    <mergeCell ref="G16:H16"/>
    <mergeCell ref="L16:S16"/>
    <mergeCell ref="G17:H17"/>
    <mergeCell ref="L17:S17"/>
    <mergeCell ref="B42:C42"/>
    <mergeCell ref="B48:C48"/>
    <mergeCell ref="B27:M27"/>
    <mergeCell ref="B29:K29"/>
    <mergeCell ref="B32:C32"/>
  </mergeCells>
  <dataValidations count="2">
    <dataValidation type="list" allowBlank="1" showInputMessage="1" showErrorMessage="1" sqref="D16">
      <formula1>$H$8:$H$9</formula1>
    </dataValidation>
    <dataValidation type="list" allowBlank="1" showInputMessage="1" showErrorMessage="1" sqref="D15">
      <formula1>$F$8:$F$9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3" name="Button 9">
              <controlPr locked="0" defaultSize="0" print="0" autoFill="0" autoPict="0" macro="[0]!Main.Main">
                <anchor moveWithCells="1" sizeWithCells="1">
                  <from>
                    <xdr:col>4</xdr:col>
                    <xdr:colOff>123825</xdr:colOff>
                    <xdr:row>23</xdr:row>
                    <xdr:rowOff>95250</xdr:rowOff>
                  </from>
                  <to>
                    <xdr:col>5</xdr:col>
                    <xdr:colOff>990600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4" name="Button 10">
              <controlPr defaultSize="0" print="0" autoFill="0" autoPict="0" macro="[0]!Add_Files">
                <anchor moveWithCells="1" sizeWithCells="1">
                  <from>
                    <xdr:col>9</xdr:col>
                    <xdr:colOff>38100</xdr:colOff>
                    <xdr:row>8</xdr:row>
                    <xdr:rowOff>9525</xdr:rowOff>
                  </from>
                  <to>
                    <xdr:col>10</xdr:col>
                    <xdr:colOff>542925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5" name="Button 11">
              <controlPr defaultSize="0" print="0" autoFill="0" autoPict="0" macro="[0]!Add_ASC">
                <anchor moveWithCells="1" sizeWithCells="1">
                  <from>
                    <xdr:col>9</xdr:col>
                    <xdr:colOff>57150</xdr:colOff>
                    <xdr:row>4</xdr:row>
                    <xdr:rowOff>171450</xdr:rowOff>
                  </from>
                  <to>
                    <xdr:col>10</xdr:col>
                    <xdr:colOff>561975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6" name="Button 12">
              <controlPr locked="0" defaultSize="0" print="0" autoFill="0" autoPict="0" macro="[0]!SOS_Email">
                <anchor moveWithCells="1" sizeWithCells="1">
                  <from>
                    <xdr:col>6</xdr:col>
                    <xdr:colOff>57150</xdr:colOff>
                    <xdr:row>23</xdr:row>
                    <xdr:rowOff>66675</xdr:rowOff>
                  </from>
                  <to>
                    <xdr:col>6</xdr:col>
                    <xdr:colOff>714375</xdr:colOff>
                    <xdr:row>25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6"/>
  <sheetViews>
    <sheetView workbookViewId="0">
      <selection activeCell="C6" sqref="C6"/>
    </sheetView>
  </sheetViews>
  <sheetFormatPr defaultRowHeight="15" x14ac:dyDescent="0.25"/>
  <cols>
    <col min="2" max="2" width="14.5703125" customWidth="1"/>
    <col min="3" max="3" width="13.7109375" customWidth="1"/>
  </cols>
  <sheetData>
    <row r="1" spans="1:3" x14ac:dyDescent="0.25">
      <c r="A1" t="s">
        <v>60</v>
      </c>
      <c r="B1">
        <v>3.1</v>
      </c>
    </row>
    <row r="3" spans="1:3" x14ac:dyDescent="0.25">
      <c r="B3" t="s">
        <v>58</v>
      </c>
      <c r="C3" t="s">
        <v>59</v>
      </c>
    </row>
    <row r="4" spans="1:3" x14ac:dyDescent="0.25">
      <c r="B4" t="s">
        <v>61</v>
      </c>
      <c r="C4">
        <v>12</v>
      </c>
    </row>
    <row r="5" spans="1:3" x14ac:dyDescent="0.25">
      <c r="B5" t="s">
        <v>70</v>
      </c>
      <c r="C5">
        <v>25</v>
      </c>
    </row>
    <row r="6" spans="1:3" x14ac:dyDescent="0.25">
      <c r="B6" t="s">
        <v>76</v>
      </c>
      <c r="C6">
        <v>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4"/>
  <sheetViews>
    <sheetView workbookViewId="0">
      <selection activeCell="I8" sqref="I8"/>
    </sheetView>
  </sheetViews>
  <sheetFormatPr defaultRowHeight="15" x14ac:dyDescent="0.25"/>
  <sheetData>
    <row r="1" spans="1:2" x14ac:dyDescent="0.25">
      <c r="A1" t="s">
        <v>62</v>
      </c>
    </row>
    <row r="2" spans="1:2" x14ac:dyDescent="0.25">
      <c r="A2">
        <v>1.1000000000000001</v>
      </c>
      <c r="B2" t="s">
        <v>63</v>
      </c>
    </row>
    <row r="3" spans="1:2" x14ac:dyDescent="0.25">
      <c r="B3" t="s">
        <v>64</v>
      </c>
    </row>
    <row r="5" spans="1:2" x14ac:dyDescent="0.25">
      <c r="A5">
        <v>2</v>
      </c>
      <c r="B5" t="s">
        <v>66</v>
      </c>
    </row>
    <row r="6" spans="1:2" x14ac:dyDescent="0.25">
      <c r="B6" t="s">
        <v>68</v>
      </c>
    </row>
    <row r="7" spans="1:2" x14ac:dyDescent="0.25">
      <c r="B7" t="s">
        <v>69</v>
      </c>
    </row>
    <row r="9" spans="1:2" x14ac:dyDescent="0.25">
      <c r="A9">
        <v>3</v>
      </c>
      <c r="B9" t="s">
        <v>74</v>
      </c>
    </row>
    <row r="11" spans="1:2" x14ac:dyDescent="0.25">
      <c r="A11">
        <v>3.1</v>
      </c>
      <c r="B11" t="s">
        <v>85</v>
      </c>
    </row>
    <row r="12" spans="1:2" x14ac:dyDescent="0.25">
      <c r="B12" t="s">
        <v>86</v>
      </c>
    </row>
    <row r="13" spans="1:2" x14ac:dyDescent="0.25">
      <c r="B13" t="s">
        <v>87</v>
      </c>
    </row>
    <row r="14" spans="1:2" x14ac:dyDescent="0.25">
      <c r="B14" t="s">
        <v>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Email List</vt:lpstr>
    </vt:vector>
  </TitlesOfParts>
  <Company>Schlumberger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KRapes@slb.com</dc:creator>
  <dc:description>Rev: 3.1</dc:description>
  <cp:lastModifiedBy>Kerri Rapes</cp:lastModifiedBy>
  <cp:lastPrinted>2015-12-08T12:44:01Z</cp:lastPrinted>
  <dcterms:created xsi:type="dcterms:W3CDTF">2012-03-30T20:24:27Z</dcterms:created>
  <dcterms:modified xsi:type="dcterms:W3CDTF">2016-01-01T20:56:09Z</dcterms:modified>
</cp:coreProperties>
</file>